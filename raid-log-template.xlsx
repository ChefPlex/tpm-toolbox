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isks" sheetId="2" state="visible" r:id="rId4"/>
    <sheet name="Assumptions" sheetId="3" state="visible" r:id="rId5"/>
    <sheet name="Issues" sheetId="4" state="visible" r:id="rId6"/>
    <sheet name="Dependenci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<sst xmlns="http://schemas.openxmlformats.org/spreadsheetml/2006/main" count="385" uniqueCount="367">
  <si>
    <t xml:space="preserve">PROGRAM RAID LOG</t>
  </si>
  <si>
    <t xml:space="preserve">Program Name</t>
  </si>
  <si>
    <t xml:space="preserve">TPM</t>
  </si>
  <si>
    <t xml:space="preserve">Version</t>
  </si>
  <si>
    <t xml:space="preserve">1.0</t>
  </si>
  <si>
    <t xml:space="preserve">Last Updated</t>
  </si>
  <si>
    <t xml:space="preserve">RAID STATUS SUMMARY</t>
  </si>
  <si>
    <t xml:space="preserve">Category</t>
  </si>
  <si>
    <t xml:space="preserve">Total Items</t>
  </si>
  <si>
    <t xml:space="preserve">Open</t>
  </si>
  <si>
    <t xml:space="preserve">In Progress</t>
  </si>
  <si>
    <t xml:space="preserve">Closed / Resolved</t>
  </si>
  <si>
    <t xml:space="preserve">No Owner</t>
  </si>
  <si>
    <t xml:space="preserve">No Plan</t>
  </si>
  <si>
    <t xml:space="preserve">Notes</t>
  </si>
  <si>
    <t xml:space="preserve">Risks</t>
  </si>
  <si>
    <t xml:space="preserve">Assumptions</t>
  </si>
  <si>
    <t xml:space="preserve">Issues</t>
  </si>
  <si>
    <t xml:space="preserve">Dependencies</t>
  </si>
  <si>
    <t xml:space="preserve">HOW TO USE THIS LOG</t>
  </si>
  <si>
    <t xml:space="preserve">1.  Fill in Program Name, TPM, and Last Updated at the top of this sheet.</t>
  </si>
  <si>
    <t xml:space="preserve">2.  Each tab covers one RAID category. Start every program by running a team session to populate the initial list.</t>
  </si>
  <si>
    <t xml:space="preserve">3.  Review the log on a regular cadence - weekly for fast-moving programs, bi-weekly for steadier ones.</t>
  </si>
  <si>
    <t xml:space="preserve">4.  Every item needs an owner. An item without an owner is not being managed.</t>
  </si>
  <si>
    <t xml:space="preserve">5.  Close items when resolved. A closed item with a resolution note is more useful than a deleted one.</t>
  </si>
  <si>
    <t xml:space="preserve">6.  Escalate early. The log is your early warning system - use it before problems become crises.</t>
  </si>
  <si>
    <t xml:space="preserve">RISK LOG</t>
  </si>
  <si>
    <t xml:space="preserve">Risk ID</t>
  </si>
  <si>
    <t xml:space="preserve">Description &amp; Impact</t>
  </si>
  <si>
    <t xml:space="preserve">Owner</t>
  </si>
  <si>
    <t xml:space="preserve">Probability</t>
  </si>
  <si>
    <t xml:space="preserve">Impact</t>
  </si>
  <si>
    <t xml:space="preserve">Risk Rating</t>
  </si>
  <si>
    <t xml:space="preserve">Proximity</t>
  </si>
  <si>
    <t xml:space="preserve">Status</t>
  </si>
  <si>
    <t xml:space="preserve">Strategy</t>
  </si>
  <si>
    <t xml:space="preserve">Mitigation Plan</t>
  </si>
  <si>
    <t xml:space="preserve">Date Raised</t>
  </si>
  <si>
    <t xml:space="preserve">Target Close</t>
  </si>
  <si>
    <t xml:space="preserve">Date Closed</t>
  </si>
  <si>
    <t xml:space="preserve">Days Open</t>
  </si>
  <si>
    <t xml:space="preserve">Categories: Technical | Schedule | Budget | Operational | External    |    Probability &amp; Impact: High / Medium / Low    |    Status: Open / In Progress / Mitigated / Closed    |    Strategy: Avoid / Mitigate / Transfer / Accept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</si>
  <si>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</si>
  <si>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</si>
  <si>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</si>
  <si>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</si>
  <si>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</si>
  <si>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</si>
  <si>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</si>
  <si>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</si>
  <si>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</si>
  <si>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</si>
  <si>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</si>
  <si>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</si>
  <si>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</si>
  <si>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</si>
  <si>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</si>
  <si>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</si>
  <si>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</si>
  <si>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</si>
  <si>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</si>
  <si>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</si>
  <si>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</si>
  <si>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</si>
  <si>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</si>
  <si>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</si>
  <si>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</si>
  <si>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R26</t>
  </si>
  <si>
    <t xml:space="preserve">R27</t>
  </si>
  <si>
    <t xml:space="preserve">R28</t>
  </si>
  <si>
    <t xml:space="preserve">R29</t>
  </si>
  <si>
    <t xml:space="preserve">R30</t>
  </si>
  <si>
    <t xml:space="preserve">R31</t>
  </si>
  <si>
    <t xml:space="preserve">R32</t>
  </si>
  <si>
    <t xml:space="preserve">R33</t>
  </si>
  <si>
    <t xml:space="preserve">R34</t>
  </si>
  <si>
    <t xml:space="preserve">R35</t>
  </si>
  <si>
    <t xml:space="preserve">R36</t>
  </si>
  <si>
    <t xml:space="preserve">R37</t>
  </si>
  <si>
    <t xml:space="preserve">R38</t>
  </si>
  <si>
    <t xml:space="preserve">R39</t>
  </si>
  <si>
    <t xml:space="preserve">R40</t>
  </si>
  <si>
    <t xml:space="preserve">R41</t>
  </si>
  <si>
    <t xml:space="preserve">R42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</si>
  <si>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</si>
  <si>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</si>
  <si>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</si>
  <si>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</si>
  <si>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</si>
  <si>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</si>
  <si>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</si>
  <si>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</si>
  <si>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</si>
  <si>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</si>
  <si>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</si>
  <si>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</si>
  <si>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</si>
  <si>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R56</t>
  </si>
  <si>
    <t xml:space="preserve">R57</t>
  </si>
  <si>
    <t xml:space="preserve">R58</t>
  </si>
  <si>
    <t xml:space="preserve">R59</t>
  </si>
  <si>
    <t xml:space="preserve">R60</t>
  </si>
  <si>
    <t xml:space="preserve">R61</t>
  </si>
  <si>
    <t xml:space="preserve">R62</t>
  </si>
  <si>
    <t xml:space="preserve">R63</t>
  </si>
  <si>
    <t xml:space="preserve">R64</t>
  </si>
  <si>
    <t xml:space="preserve">R65</t>
  </si>
  <si>
    <t xml:space="preserve">R66</t>
  </si>
  <si>
    <t xml:space="preserve">R67</t>
  </si>
  <si>
    <t xml:space="preserve">R68</t>
  </si>
  <si>
    <t xml:space="preserve">R69</t>
  </si>
  <si>
    <t xml:space="preserve">R70</t>
  </si>
  <si>
    <t xml:space="preserve">R71</t>
  </si>
  <si>
    <t xml:space="preserve">R72</t>
  </si>
  <si>
    <t xml:space="preserve">R73</t>
  </si>
  <si>
    <t xml:space="preserve">R74</t>
  </si>
  <si>
    <t xml:space="preserve">R75</t>
  </si>
  <si>
    <t xml:space="preserve">R76</t>
  </si>
  <si>
    <t xml:space="preserve">R77</t>
  </si>
  <si>
    <t xml:space="preserve">R78</t>
  </si>
  <si>
    <t xml:space="preserve">R79</t>
  </si>
  <si>
    <t xml:space="preserve">R80</t>
  </si>
  <si>
    <t xml:space="preserve">R81</t>
  </si>
  <si>
    <t xml:space="preserve">R82</t>
  </si>
  <si>
    <t xml:space="preserve">R83</t>
  </si>
  <si>
    <t xml:space="preserve">R84</t>
  </si>
  <si>
    <t xml:space="preserve">R85</t>
  </si>
  <si>
    <t xml:space="preserve">R86</t>
  </si>
  <si>
    <t xml:space="preserve">R87</t>
  </si>
  <si>
    <t xml:space="preserve">R88</t>
  </si>
  <si>
    <t xml:space="preserve">R89</t>
  </si>
  <si>
    <t xml:space="preserve">R90</t>
  </si>
  <si>
    <t xml:space="preserve">R91</t>
  </si>
  <si>
    <t xml:space="preserve">R92</t>
  </si>
  <si>
    <t xml:space="preserve">R93</t>
  </si>
  <si>
    <t xml:space="preserve">R94</t>
  </si>
  <si>
    <t xml:space="preserve">R95</t>
  </si>
  <si>
    <t xml:space="preserve">R96</t>
  </si>
  <si>
    <t xml:space="preserve">R97</t>
  </si>
  <si>
    <t xml:space="preserve">R98</t>
  </si>
  <si>
    <t xml:space="preserve">R99</t>
  </si>
  <si>
    <t xml:space="preserve">R100</t>
  </si>
  <si>
    <t xml:space="preserve">ASSUMPTIONS LOG</t>
  </si>
  <si>
    <t xml:space="preserve">ID</t>
  </si>
  <si>
    <t xml:space="preserve">Assumption Description</t>
  </si>
  <si>
    <t xml:space="preserve">Reason / Basis</t>
  </si>
  <si>
    <t xml:space="preserve">Validation Action</t>
  </si>
  <si>
    <t xml:space="preserve">Impact if Wrong</t>
  </si>
  <si>
    <t xml:space="preserve">Status options: Open | Validated | Invalidated | Closed    |    Log an assumption any time you are treating something as true without confirmation. If it turns out to be wrong, would it change the plan? If yes, write it down.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</si>
  <si>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</si>
  <si>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</si>
  <si>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</si>
  <si>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</si>
  <si>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</si>
  <si>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</si>
  <si>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</si>
  <si>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</si>
  <si>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</si>
  <si>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</si>
  <si>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</si>
  <si>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</si>
  <si>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</si>
  <si>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</si>
  <si>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</si>
  <si>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A16</t>
  </si>
  <si>
    <t xml:space="preserve">A17</t>
  </si>
  <si>
    <t xml:space="preserve">A18</t>
  </si>
  <si>
    <t xml:space="preserve">A19</t>
  </si>
  <si>
    <t xml:space="preserve">A20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</si>
  <si>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</si>
  <si>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</si>
  <si>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</si>
  <si>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</si>
  <si>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</si>
  <si>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</si>
  <si>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</si>
  <si>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</si>
  <si>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A29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</si>
  <si>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</si>
  <si>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</si>
  <si>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</si>
  <si>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</si>
  <si>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</si>
  <si>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</si>
  <si>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</si>
  <si>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</si>
  <si>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</si>
  <si>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</si>
  <si>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A40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</si>
  <si>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</si>
  <si>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</si>
  <si>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</si>
  <si>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</si>
  <si>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</si>
  <si>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</si>
  <si>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</si>
  <si>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</si>
  <si>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</si>
  <si>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</si>
  <si>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ISSUES LOG</t>
  </si>
  <si>
    <t xml:space="preserve">Issue ID</t>
  </si>
  <si>
    <t xml:space="preserve">Priority</t>
  </si>
  <si>
    <t xml:space="preserve">Resolution Plan</t>
  </si>
  <si>
    <t xml:space="preserve">Target Resolution</t>
  </si>
  <si>
    <t xml:space="preserve">Linked Risk ID</t>
  </si>
  <si>
    <t xml:space="preserve">Categories: Technical | Schedule | Budget | Operational | External    |    Priority: High / Medium / Low    |    Status: Open / In Progress / Resolved / Closed    |    A risk that happened is an issue. Name it what it is.</t>
  </si>
  <si>
    <t xml:space="preserve">I1</t>
  </si>
  <si>
    <t xml:space="preserve">I2</t>
  </si>
  <si>
    <t xml:space="preserve">I3</t>
  </si>
  <si>
    <t xml:space="preserve">I4</t>
  </si>
  <si>
    <t xml:space="preserve">I5</t>
  </si>
  <si>
    <t xml:space="preserve">I6</t>
  </si>
  <si>
    <t xml:space="preserve">I7</t>
  </si>
  <si>
    <t xml:space="preserve">I8</t>
  </si>
  <si>
    <t xml:space="preserve">I9</t>
  </si>
  <si>
    <t xml:space="preserve">I10</t>
  </si>
  <si>
    <t xml:space="preserve">I11</t>
  </si>
  <si>
    <t xml:space="preserve">I12</t>
  </si>
  <si>
    <t xml:space="preserve">I13</t>
  </si>
  <si>
    <t xml:space="preserve">I14</t>
  </si>
  <si>
    <t xml:space="preserve">I15</t>
  </si>
  <si>
    <t xml:space="preserve">I16</t>
  </si>
  <si>
    <t xml:space="preserve">I17</t>
  </si>
  <si>
    <t xml:space="preserve">I18</t>
  </si>
  <si>
    <t xml:space="preserve">I19</t>
  </si>
  <si>
    <t xml:space="preserve">I20</t>
  </si>
  <si>
    <t xml:space="preserve">I21</t>
  </si>
  <si>
    <t xml:space="preserve">I22</t>
  </si>
  <si>
    <t xml:space="preserve">I23</t>
  </si>
  <si>
    <t xml:space="preserve">I24</t>
  </si>
  <si>
    <t xml:space="preserve">I25</t>
  </si>
  <si>
    <t xml:space="preserve">I26</t>
  </si>
  <si>
    <t xml:space="preserve">I27</t>
  </si>
  <si>
    <t xml:space="preserve">I28</t>
  </si>
  <si>
    <t xml:space="preserve">I29</t>
  </si>
  <si>
    <t xml:space="preserve">I30</t>
  </si>
  <si>
    <t xml:space="preserve">I31</t>
  </si>
  <si>
    <t xml:space="preserve">I32</t>
  </si>
  <si>
    <t xml:space="preserve">I33</t>
  </si>
  <si>
    <t xml:space="preserve">I34</t>
  </si>
  <si>
    <t xml:space="preserve">I35</t>
  </si>
  <si>
    <t xml:space="preserve">I36</t>
  </si>
  <si>
    <t xml:space="preserve">I37</t>
  </si>
  <si>
    <t xml:space="preserve">I38</t>
  </si>
  <si>
    <t xml:space="preserve">I39</t>
  </si>
  <si>
    <t xml:space="preserve">I40</t>
  </si>
  <si>
    <t xml:space="preserve">I41</t>
  </si>
  <si>
    <t xml:space="preserve">I42</t>
  </si>
  <si>
    <t xml:space="preserve">I43</t>
  </si>
  <si>
    <t xml:space="preserve">I44</t>
  </si>
  <si>
    <t xml:space="preserve">I45</t>
  </si>
  <si>
    <t xml:space="preserve">I46</t>
  </si>
  <si>
    <t xml:space="preserve">I47</t>
  </si>
  <si>
    <t xml:space="preserve">I48</t>
  </si>
  <si>
    <t xml:space="preserve">I49</t>
  </si>
  <si>
    <t xml:space="preserve">I50</t>
  </si>
  <si>
    <t xml:space="preserve">I51</t>
  </si>
  <si>
    <t xml:space="preserve">I52</t>
  </si>
  <si>
    <t xml:space="preserve">I53</t>
  </si>
  <si>
    <t xml:space="preserve">I54</t>
  </si>
  <si>
    <t xml:space="preserve">I55</t>
  </si>
  <si>
    <t xml:space="preserve">I56</t>
  </si>
  <si>
    <t xml:space="preserve">I57</t>
  </si>
  <si>
    <t xml:space="preserve">I58</t>
  </si>
  <si>
    <t xml:space="preserve">I59</t>
  </si>
  <si>
    <t xml:space="preserve">I60</t>
  </si>
  <si>
    <t xml:space="preserve">I61</t>
  </si>
  <si>
    <t xml:space="preserve">I62</t>
  </si>
  <si>
    <t xml:space="preserve">I63</t>
  </si>
  <si>
    <t xml:space="preserve">I64</t>
  </si>
  <si>
    <t xml:space="preserve">I65</t>
  </si>
  <si>
    <t xml:space="preserve">I66</t>
  </si>
  <si>
    <t xml:space="preserve">I67</t>
  </si>
  <si>
    <t xml:space="preserve">I68</t>
  </si>
  <si>
    <t xml:space="preserve">I69</t>
  </si>
  <si>
    <t xml:space="preserve">I70</t>
  </si>
  <si>
    <t xml:space="preserve">I71</t>
  </si>
  <si>
    <t xml:space="preserve">I72</t>
  </si>
  <si>
    <t xml:space="preserve">I73</t>
  </si>
  <si>
    <t xml:space="preserve">I74</t>
  </si>
  <si>
    <t xml:space="preserve">I75</t>
  </si>
  <si>
    <t xml:space="preserve">I76</t>
  </si>
  <si>
    <t xml:space="preserve">I77</t>
  </si>
  <si>
    <t xml:space="preserve">I78</t>
  </si>
  <si>
    <t xml:space="preserve">I79</t>
  </si>
  <si>
    <t xml:space="preserve">I80</t>
  </si>
  <si>
    <t xml:space="preserve">I81</t>
  </si>
  <si>
    <t xml:space="preserve">I82</t>
  </si>
  <si>
    <t xml:space="preserve">I83</t>
  </si>
  <si>
    <t xml:space="preserve">I84</t>
  </si>
  <si>
    <t xml:space="preserve">I85</t>
  </si>
  <si>
    <t xml:space="preserve">I86</t>
  </si>
  <si>
    <t xml:space="preserve">I87</t>
  </si>
  <si>
    <t xml:space="preserve">I88</t>
  </si>
  <si>
    <t xml:space="preserve">I89</t>
  </si>
  <si>
    <t xml:space="preserve">I90</t>
  </si>
  <si>
    <t xml:space="preserve">I91</t>
  </si>
  <si>
    <t xml:space="preserve">I92</t>
  </si>
  <si>
    <t xml:space="preserve">I93</t>
  </si>
  <si>
    <t xml:space="preserve">I94</t>
  </si>
  <si>
    <t xml:space="preserve">I95</t>
  </si>
  <si>
    <t xml:space="preserve">I96</t>
  </si>
  <si>
    <t xml:space="preserve">I97</t>
  </si>
  <si>
    <t xml:space="preserve">I98</t>
  </si>
  <si>
    <t xml:space="preserve">I99</t>
  </si>
  <si>
    <t xml:space="preserve">I100</t>
  </si>
  <si>
    <t xml:space="preserve">DEPENDENCIES LOG</t>
  </si>
  <si>
    <t xml:space="preserve">Dep ID</t>
  </si>
  <si>
    <t xml:space="preserve">Description</t>
  </si>
  <si>
    <t xml:space="preserve">Type</t>
  </si>
  <si>
    <t xml:space="preserve">What We Need</t>
  </si>
  <si>
    <t xml:space="preserve">Owner (Our Side)</t>
  </si>
  <si>
    <t xml:space="preserve">External Contact</t>
  </si>
  <si>
    <t xml:space="preserve">Due Date</t>
  </si>
  <si>
    <t xml:space="preserve">Impact if Late</t>
  </si>
  <si>
    <t xml:space="preserve">Likelihood</t>
  </si>
  <si>
    <t xml:space="preserve">Type: Internal / External    |    Status: On Track / At Risk / Blocked / Complete    |    Every dependency needs an owner on your side and a contact on the other side. 'I haven't heard back' is not a status.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</si>
  <si>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</si>
  <si>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</si>
  <si>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</si>
  <si>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</si>
  <si>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</si>
  <si>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</si>
  <si>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</si>
  <si>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</si>
  <si>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</si>
  <si>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</si>
  <si>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</si>
  <si>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</si>
  <si>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</si>
  <si>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</si>
  <si>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</si>
  <si>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D16</t>
  </si>
  <si>
    <t xml:space="preserve">D17</t>
  </si>
  <si>
    <t xml:space="preserve">D18</t>
  </si>
  <si>
    <t xml:space="preserve">D19</t>
  </si>
  <si>
    <t xml:space="preserve">D20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</si>
  <si>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</si>
  <si>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</si>
  <si>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</si>
  <si>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</si>
  <si>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</si>
  <si>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D26</t>
  </si>
  <si>
    <t xml:space="preserve">D27</t>
  </si>
  <si>
    <t xml:space="preserve">D28</t>
  </si>
  <si>
    <t xml:space="preserve">D29</t>
  </si>
  <si>
    <t xml:space="preserve">D30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</si>
  <si>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</si>
  <si>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</si>
  <si>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</si>
  <si>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</si>
  <si>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</si>
  <si>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D36</t>
  </si>
  <si>
    <t xml:space="preserve">D37</t>
  </si>
  <si>
    <t xml:space="preserve">D38</t>
  </si>
  <si>
    <t xml:space="preserve">D39</t>
  </si>
  <si>
    <t xml:space="preserve">D40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</si>
  <si>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</si>
  <si>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</si>
  <si>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</si>
  <si>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</si>
  <si>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</si>
  <si>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D46</t>
  </si>
  <si>
    <t xml:space="preserve">D47</t>
  </si>
  <si>
    <t xml:space="preserve">D48</t>
  </si>
  <si>
    <t xml:space="preserve">D49</t>
  </si>
  <si>
    <t xml:space="preserve">D50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</si>
</sst>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FC7CE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F2F2F2"/>
        <bgColor rgb="FFE2EFDA"/>
      </patternFill>
    </fill>
    <fill>
      <patternFill patternType="solid">
        <fgColor rgb="FF375623"/>
        <bgColor rgb="FF595959"/>
      </patternFill>
    </fill>
    <fill>
      <patternFill patternType="solid">
        <fgColor rgb="FF1F78B4"/>
        <bgColor rgb="FF008080"/>
      </patternFill>
    </fill>
    <fill>
      <patternFill patternType="solid">
        <fgColor rgb="FFC00000"/>
        <bgColor rgb="FF800000"/>
      </patternFill>
    </fill>
    <fill>
      <patternFill patternType="solid">
        <fgColor rgb="FF7030A0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1DC"/>
      <rgbColor rgb="FF808080"/>
      <rgbColor rgb="FF9999FF"/>
      <rgbColor rgb="FF7030A0"/>
      <rgbColor rgb="FFF2F2F2"/>
      <rgbColor rgb="FFDDEBF7"/>
      <rgbColor rgb="FF660066"/>
      <rgbColor rgb="FFFF8080"/>
      <rgbColor rgb="FF1F78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7" min="6" style="0" width="10"/>
    <col collapsed="false" customWidth="true" hidden="false" outlineLevel="0" max="8" min="8" style="0" width="30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3"/>
    </row>
    <row r="4" customFormat="false" ht="15" hidden="false" customHeight="false" outlineLevel="0" collapsed="false">
      <c r="A4" s="2" t="s">
        <v>2</v>
      </c>
      <c r="B4" s="3"/>
    </row>
    <row r="5" customFormat="false" ht="15" hidden="false" customHeight="false" outlineLevel="0" collapsed="false">
      <c r="A5" s="2" t="s">
        <v>3</v>
      </c>
      <c r="B5" s="4" t="s">
        <v>4</v>
      </c>
    </row>
    <row r="6" customFormat="false" ht="15" hidden="false" customHeight="false" outlineLevel="0" collapsed="false">
      <c r="A6" s="2" t="s">
        <v>5</v>
      </c>
      <c r="B6" s="3"/>
    </row>
    <row r="8" customFormat="false" ht="15" hidden="false" customHeight="true" outlineLevel="0" collapsed="false">
      <c r="A8" s="5" t="s">
        <v>6</v>
      </c>
      <c r="B8" s="5"/>
      <c r="C8" s="5"/>
      <c r="D8" s="5"/>
      <c r="E8" s="5"/>
      <c r="F8" s="5"/>
      <c r="G8" s="5"/>
      <c r="H8" s="5"/>
    </row>
    <row r="9" customFormat="false" ht="26.85" hidden="false" customHeight="false" outlineLevel="0" collapsed="false">
      <c r="A9" s="6" t="s">
        <v>7</v>
      </c>
      <c r="B9" s="6" t="s">
        <v>8</v>
      </c>
      <c r="C9" s="6" t="s">
        <v>9</v>
      </c>
      <c r="D9" s="6" t="s">
        <v>10</v>
      </c>
      <c r="E9" s="6" t="s">
        <v>11</v>
      </c>
      <c r="F9" s="6" t="s">
        <v>12</v>
      </c>
      <c r="G9" s="6" t="s">
        <v>13</v>
      </c>
      <c r="H9" s="6" t="s">
        <v>14</v>
      </c>
    </row>
    <row r="10" customFormat="false" ht="15" hidden="false" customHeight="false" outlineLevel="0" collapsed="false">
      <c r="A10" s="7" t="s">
        <v>15</v>
      </c>
      <c r="B10" s="8" t="n">
        <f aca="false">COUNTA(Risks!A3:A202)</f>
        <v>101</v>
      </c>
      <c r="C10" s="8" t="n">
        <f aca="false">COUNTIF(Risks!P3:P202,"Open")</f>
        <v>0</v>
      </c>
      <c r="D10" s="8" t="n">
        <f aca="false">COUNTIF(Risks!P3:P202,"In Progress")</f>
        <v>0</v>
      </c>
      <c r="E10" s="8" t="n">
        <f aca="false">COUNTIF(Risks!P3:P202,"Closed")</f>
        <v>0</v>
      </c>
      <c r="F10" s="8" t="n">
        <f aca="false">COUNTBLANK(Risks!C3:C202)-( ROWS(Risks!C3:C202)-COUNTA(Risks!A3:A202))</f>
        <v>101</v>
      </c>
      <c r="G10" s="8" t="n">
        <f aca="false">COUNTBLANK(Risks!S3:S202)-( ROWS(Risks!S3:S202)-COUNTA(Risks!A3:A202))</f>
        <v>101</v>
      </c>
      <c r="H10" s="8"/>
    </row>
    <row r="11" customFormat="false" ht="15" hidden="false" customHeight="false" outlineLevel="0" collapsed="false">
      <c r="A11" s="9" t="s">
        <v>16</v>
      </c>
      <c r="B11" s="10" t="n">
        <f aca="false">COUNTA(Assumptions!A3:A102)</f>
        <v>51</v>
      </c>
      <c r="C11" s="10" t="n">
        <f aca="false">COUNTIF(Assumptions!C3:C102,"Open")</f>
        <v>0</v>
      </c>
      <c r="D11" s="10" t="n">
        <f aca="false">COUNTIF(Assumptions!C3:C102,"In Progress")</f>
        <v>0</v>
      </c>
      <c r="E11" s="10" t="n">
        <f aca="false">COUNTIF(Assumptions!C3:C102,"Closed")</f>
        <v>0</v>
      </c>
      <c r="F11" s="10" t="n">
        <f aca="false">COUNTBLANK(Assumptions!I3:I102)-( ROWS(Assumptions!I3:I102)-COUNTA(Assumptions!A3:A102))</f>
        <v>51</v>
      </c>
      <c r="G11" s="10"/>
      <c r="H11" s="10"/>
    </row>
    <row r="12" customFormat="false" ht="15" hidden="false" customHeight="false" outlineLevel="0" collapsed="false">
      <c r="A12" s="11" t="s">
        <v>17</v>
      </c>
      <c r="B12" s="12" t="n">
        <f aca="false">COUNTA(Issues!A3:A202)</f>
        <v>101</v>
      </c>
      <c r="C12" s="12" t="n">
        <f aca="false">COUNTIF(Issues!M3:M202,"Open")</f>
        <v>0</v>
      </c>
      <c r="D12" s="12" t="n">
        <f aca="false">COUNTIF(Issues!M3:M202,"In Progress")</f>
        <v>0</v>
      </c>
      <c r="E12" s="12" t="n">
        <f aca="false">COUNTIF(Issues!M3:M202,"Resolved")</f>
        <v>0</v>
      </c>
      <c r="F12" s="12" t="n">
        <f aca="false">COUNTBLANK(Issues!C3:C202)-( ROWS(Issues!C3:C202)-COUNTA(Issues!A3:A202))</f>
        <v>101</v>
      </c>
      <c r="G12" s="12" t="n">
        <f aca="false">COUNTBLANK(Issues!N3:N202)-( ROWS(Issues!N3:N202)-COUNTA(Issues!A3:A202))</f>
        <v>101</v>
      </c>
      <c r="H12" s="12"/>
    </row>
    <row r="13" customFormat="false" ht="15" hidden="false" customHeight="false" outlineLevel="0" collapsed="false">
      <c r="A13" s="13" t="s">
        <v>18</v>
      </c>
      <c r="B13" s="14" t="n">
        <f aca="false">COUNTA(Dependencies!A3:A102)</f>
        <v>51</v>
      </c>
      <c r="C13" s="14" t="n">
        <f aca="false">COUNTIF(Dependencies!J3:J102,"Open")</f>
        <v>0</v>
      </c>
      <c r="D13" s="14" t="n">
        <f aca="false">COUNTIF(Dependencies!J3:J102,"At Risk")</f>
        <v>0</v>
      </c>
      <c r="E13" s="14" t="n">
        <f aca="false">COUNTIF(Dependencies!J3:J102,"Complete")</f>
        <v>0</v>
      </c>
      <c r="F13" s="14" t="n">
        <f aca="false">COUNTBLANK(Dependencies!E3:E102)-( ROWS(Dependencies!E3:E102)-COUNTA(Dependencies!A3:A102))</f>
        <v>51</v>
      </c>
      <c r="G13" s="14"/>
      <c r="H13" s="14"/>
    </row>
    <row r="15" customFormat="false" ht="15" hidden="false" customHeight="true" outlineLevel="0" collapsed="false">
      <c r="A15" s="5" t="s">
        <v>19</v>
      </c>
      <c r="B15" s="5"/>
      <c r="C15" s="5"/>
      <c r="D15" s="5"/>
      <c r="E15" s="5"/>
      <c r="F15" s="5"/>
      <c r="G15" s="5"/>
      <c r="H15" s="5"/>
    </row>
    <row r="16" customFormat="false" ht="15" hidden="false" customHeight="true" outlineLevel="0" collapsed="false">
      <c r="A16" s="15" t="s">
        <v>20</v>
      </c>
      <c r="B16" s="15"/>
      <c r="C16" s="15"/>
      <c r="D16" s="15"/>
      <c r="E16" s="15"/>
      <c r="F16" s="15"/>
      <c r="G16" s="15"/>
      <c r="H16" s="15"/>
    </row>
    <row r="17" customFormat="false" ht="15" hidden="false" customHeight="true" outlineLevel="0" collapsed="false">
      <c r="A17" s="16" t="s">
        <v>21</v>
      </c>
      <c r="B17" s="16"/>
      <c r="C17" s="16"/>
      <c r="D17" s="16"/>
      <c r="E17" s="16"/>
      <c r="F17" s="16"/>
      <c r="G17" s="16"/>
      <c r="H17" s="16"/>
    </row>
    <row r="18" customFormat="false" ht="15" hidden="false" customHeight="true" outlineLevel="0" collapsed="false">
      <c r="A18" s="15" t="s">
        <v>22</v>
      </c>
      <c r="B18" s="15"/>
      <c r="C18" s="15"/>
      <c r="D18" s="15"/>
      <c r="E18" s="15"/>
      <c r="F18" s="15"/>
      <c r="G18" s="15"/>
      <c r="H18" s="15"/>
    </row>
    <row r="19" customFormat="false" ht="15" hidden="false" customHeight="true" outlineLevel="0" collapsed="false">
      <c r="A19" s="16" t="s">
        <v>23</v>
      </c>
      <c r="B19" s="16"/>
      <c r="C19" s="16"/>
      <c r="D19" s="16"/>
      <c r="E19" s="16"/>
      <c r="F19" s="16"/>
      <c r="G19" s="16"/>
      <c r="H19" s="16"/>
    </row>
    <row r="20" customFormat="false" ht="15" hidden="false" customHeight="true" outlineLevel="0" collapsed="false">
      <c r="A20" s="15" t="s">
        <v>24</v>
      </c>
      <c r="B20" s="15"/>
      <c r="C20" s="15"/>
      <c r="D20" s="15"/>
      <c r="E20" s="15"/>
      <c r="F20" s="15"/>
      <c r="G20" s="15"/>
      <c r="H20" s="15"/>
    </row>
    <row r="21" customFormat="false" ht="15" hidden="false" customHeight="true" outlineLevel="0" collapsed="false">
      <c r="A21" s="16" t="s">
        <v>25</v>
      </c>
      <c r="B21" s="16"/>
      <c r="C21" s="16"/>
      <c r="D21" s="16"/>
      <c r="E21" s="16"/>
      <c r="F21" s="16"/>
      <c r="G21" s="16"/>
      <c r="H21" s="16"/>
    </row>
  </sheetData>
  <mergeCells count="9">
    <mergeCell ref="A1:H1"/>
    <mergeCell ref="A8:H8"/>
    <mergeCell ref="A15:H15"/>
    <mergeCell ref="A16:H16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R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40"/>
    <col collapsed="false" customWidth="true" hidden="false" outlineLevel="0" max="14" min="12" style="0" width="13"/>
    <col collapsed="false" customWidth="true" hidden="false" outlineLevel="0" max="15" min="15" style="0" width="10"/>
    <col collapsed="false" customWidth="true" hidden="false" outlineLevel="0" max="16" min="16" style="0" width="30"/>
  </cols>
  <sheetData>
    <row r="1" customFormat="false" ht="27.75" hidden="false" customHeight="true" outlineLevel="0" collapsed="false">
      <c r="A1" s="17" t="s">
        <v>26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customFormat="false" ht="26.85" hidden="false" customHeight="false" outlineLevel="0" collapsed="false">
      <c r="A2" s="18" t="s">
        <v>27</v>
      </c>
      <c r="B2" s="18" t="s">
        <v>28</v>
      </c>
      <c r="C2" s="18" t="s">
        <v>29</v>
      </c>
      <c r="D2" s="18" t="s">
        <v>7</v>
      </c>
      <c r="E2" s="18" t="s">
        <v>30</v>
      </c>
      <c r="F2" s="18" t="s">
        <v>31</v>
      </c>
      <c r="G2" s="18" t="s">
        <v>32</v>
      </c>
      <c r="H2" s="18" t="s">
        <v>33</v>
      </c>
      <c r="I2" s="18" t="s">
        <v>34</v>
      </c>
      <c r="J2" s="18" t="s">
        <v>35</v>
      </c>
      <c r="K2" s="18" t="s">
        <v>36</v>
      </c>
      <c r="L2" s="18" t="s">
        <v>37</v>
      </c>
      <c r="M2" s="18" t="s">
        <v>38</v>
      </c>
      <c r="N2" s="18" t="s">
        <v>39</v>
      </c>
      <c r="O2" s="18" t="s">
        <v>40</v>
      </c>
      <c r="P2" s="18" t="s">
        <v>14</v>
      </c>
    </row>
    <row r="3" customFormat="false" ht="15" hidden="false" customHeight="true" outlineLevel="0" collapsed="false">
      <c r="A3" s="19" t="s">
        <v>41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</row>
    <row r="4" customFormat="false" ht="15" hidden="false" customHeight="false" outlineLevel="0" collapsed="false">
      <c r="A4" s="20" t="s">
        <v>42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 t="n">
        <f aca="true">IF(A4&lt;&gt;"",IF(N4&lt;&gt;"",N4-L4,TODAY()-L4),"")</f>
        <v>46164</v>
      </c>
      <c r="P4" s="20"/>
    </row>
    <row r="5" customFormat="false" ht="15" hidden="false" customHeight="false" outlineLevel="0" collapsed="false">
      <c r="A5" s="21" t="s">
        <v>43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 t="n">
        <f aca="true">IF(A5&lt;&gt;"",IF(N5&lt;&gt;"",N5-L5,TODAY()-L5),"")</f>
        <v>46164</v>
      </c>
      <c r="P5" s="21"/>
    </row>
    <row r="6" customFormat="false" ht="15" hidden="false" customHeight="false" outlineLevel="0" collapsed="false">
      <c r="A6" s="20" t="s">
        <v>44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 t="n">
        <f aca="true">IF(A6&lt;&gt;"",IF(N6&lt;&gt;"",N6-L6,TODAY()-L6),"")</f>
        <v>46164</v>
      </c>
      <c r="P6" s="20"/>
    </row>
    <row r="7" customFormat="false" ht="15" hidden="false" customHeight="false" outlineLevel="0" collapsed="false">
      <c r="A7" s="21" t="s">
        <v>45</v>
      </c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 t="n">
        <f aca="true">IF(A7&lt;&gt;"",IF(N7&lt;&gt;"",N7-L7,TODAY()-L7),"")</f>
        <v>46164</v>
      </c>
      <c r="P7" s="21"/>
    </row>
    <row r="8" customFormat="false" ht="15" hidden="false" customHeight="false" outlineLevel="0" collapsed="false">
      <c r="A8" s="20" t="s">
        <v>46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 t="n">
        <f aca="true">IF(A8&lt;&gt;"",IF(N8&lt;&gt;"",N8-L8,TODAY()-L8),"")</f>
        <v>46164</v>
      </c>
      <c r="P8" s="20"/>
    </row>
    <row r="9" customFormat="false" ht="15" hidden="false" customHeight="false" outlineLevel="0" collapsed="false">
      <c r="A9" s="21" t="s">
        <v>47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 t="n">
        <f aca="true">IF(A9&lt;&gt;"",IF(N9&lt;&gt;"",N9-L9,TODAY()-L9),"")</f>
        <v>46164</v>
      </c>
      <c r="P9" s="21"/>
    </row>
    <row r="10" customFormat="false" ht="15" hidden="false" customHeight="false" outlineLevel="0" collapsed="false">
      <c r="A10" s="20" t="s">
        <v>48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 t="n">
        <f aca="true">IF(A10&lt;&gt;"",IF(N10&lt;&gt;"",N10-L10,TODAY()-L10),"")</f>
        <v>46164</v>
      </c>
      <c r="P10" s="20"/>
    </row>
    <row r="11" customFormat="false" ht="15" hidden="false" customHeight="false" outlineLevel="0" collapsed="false">
      <c r="A11" s="21" t="s">
        <v>49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 t="n">
        <f aca="true">IF(A11&lt;&gt;"",IF(N11&lt;&gt;"",N11-L11,TODAY()-L11),"")</f>
        <v>46164</v>
      </c>
      <c r="P11" s="21"/>
    </row>
    <row r="12" customFormat="false" ht="15" hidden="false" customHeight="false" outlineLevel="0" collapsed="false">
      <c r="A12" s="20" t="s">
        <v>50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 t="n">
        <f aca="true">IF(A12&lt;&gt;"",IF(N12&lt;&gt;"",N12-L12,TODAY()-L12),"")</f>
        <v>46164</v>
      </c>
      <c r="P12" s="20"/>
    </row>
    <row r="13" customFormat="false" ht="15" hidden="false" customHeight="false" outlineLevel="0" collapsed="false">
      <c r="A13" s="21" t="s">
        <v>51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 t="n">
        <f aca="true">IF(A13&lt;&gt;"",IF(N13&lt;&gt;"",N13-L13,TODAY()-L13),"")</f>
        <v>46164</v>
      </c>
      <c r="P13" s="21"/>
    </row>
    <row r="14" customFormat="false" ht="15" hidden="false" customHeight="false" outlineLevel="0" collapsed="false">
      <c r="A14" s="20" t="s">
        <v>52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 t="n">
        <f aca="true">IF(A14&lt;&gt;"",IF(N14&lt;&gt;"",N14-L14,TODAY()-L14),"")</f>
        <v>46164</v>
      </c>
      <c r="P14" s="20"/>
    </row>
    <row r="15" customFormat="false" ht="15" hidden="false" customHeight="false" outlineLevel="0" collapsed="false">
      <c r="A15" s="21" t="s">
        <v>53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 t="n">
        <f aca="true">IF(A15&lt;&gt;"",IF(N15&lt;&gt;"",N15-L15,TODAY()-L15),"")</f>
        <v>46164</v>
      </c>
      <c r="P15" s="21"/>
    </row>
    <row r="16" customFormat="false" ht="15" hidden="false" customHeight="false" outlineLevel="0" collapsed="false">
      <c r="A16" s="20" t="s">
        <v>54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 t="n">
        <f aca="true">IF(A16&lt;&gt;"",IF(N16&lt;&gt;"",N16-L16,TODAY()-L16),"")</f>
        <v>46164</v>
      </c>
      <c r="P16" s="20"/>
    </row>
    <row r="17" customFormat="false" ht="15" hidden="false" customHeight="false" outlineLevel="0" collapsed="false">
      <c r="A17" s="21" t="s">
        <v>55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 t="n">
        <f aca="true">IF(A17&lt;&gt;"",IF(N17&lt;&gt;"",N17-L17,TODAY()-L17),"")</f>
        <v>46164</v>
      </c>
      <c r="P17" s="21"/>
    </row>
    <row r="18" customFormat="false" ht="15" hidden="false" customHeight="false" outlineLevel="0" collapsed="false">
      <c r="A18" s="20" t="s">
        <v>56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 t="n">
        <f aca="true">IF(A18&lt;&gt;"",IF(N18&lt;&gt;"",N18-L18,TODAY()-L18),"")</f>
        <v>46164</v>
      </c>
      <c r="P18" s="20"/>
    </row>
    <row r="19" customFormat="false" ht="15" hidden="false" customHeight="false" outlineLevel="0" collapsed="false">
      <c r="A19" s="21" t="s">
        <v>57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 t="n">
        <f aca="true">IF(A19&lt;&gt;"",IF(N19&lt;&gt;"",N19-L19,TODAY()-L19),"")</f>
        <v>46164</v>
      </c>
      <c r="P19" s="21"/>
    </row>
    <row r="20" customFormat="false" ht="15" hidden="false" customHeight="false" outlineLevel="0" collapsed="false">
      <c r="A20" s="20" t="s">
        <v>58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 t="n">
        <f aca="true">IF(A20&lt;&gt;"",IF(N20&lt;&gt;"",N20-L20,TODAY()-L20),"")</f>
        <v>46164</v>
      </c>
      <c r="P20" s="20"/>
    </row>
    <row r="21" customFormat="false" ht="15" hidden="false" customHeight="false" outlineLevel="0" collapsed="false">
      <c r="A21" s="21" t="s">
        <v>59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 t="n">
        <f aca="true">IF(A21&lt;&gt;"",IF(N21&lt;&gt;"",N21-L21,TODAY()-L21),"")</f>
        <v>46164</v>
      </c>
      <c r="P21" s="21"/>
    </row>
    <row r="22" customFormat="false" ht="15" hidden="false" customHeight="false" outlineLevel="0" collapsed="false">
      <c r="A22" s="20" t="s">
        <v>60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 t="n">
        <f aca="true">IF(A22&lt;&gt;"",IF(N22&lt;&gt;"",N22-L22,TODAY()-L22),"")</f>
        <v>46164</v>
      </c>
      <c r="P22" s="20"/>
    </row>
    <row r="23" customFormat="false" ht="15" hidden="false" customHeight="false" outlineLevel="0" collapsed="false">
      <c r="A23" s="21" t="s">
        <v>61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 t="n">
        <f aca="true">IF(A23&lt;&gt;"",IF(N23&lt;&gt;"",N23-L23,TODAY()-L23),"")</f>
        <v>46164</v>
      </c>
      <c r="P23" s="21"/>
    </row>
    <row r="24" customFormat="false" ht="15" hidden="false" customHeight="false" outlineLevel="0" collapsed="false">
      <c r="A24" s="20" t="s">
        <v>62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 t="n">
        <f aca="true">IF(A24&lt;&gt;"",IF(N24&lt;&gt;"",N24-L24,TODAY()-L24),"")</f>
        <v>46164</v>
      </c>
      <c r="P24" s="20"/>
    </row>
    <row r="25" customFormat="false" ht="15" hidden="false" customHeight="false" outlineLevel="0" collapsed="false">
      <c r="A25" s="21" t="s">
        <v>63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 t="n">
        <f aca="true">IF(A25&lt;&gt;"",IF(N25&lt;&gt;"",N25-L25,TODAY()-L25),"")</f>
        <v>46164</v>
      </c>
      <c r="P25" s="21"/>
    </row>
    <row r="26" customFormat="false" ht="15" hidden="false" customHeight="false" outlineLevel="0" collapsed="false">
      <c r="A26" s="20" t="s">
        <v>64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 t="n">
        <f aca="true">IF(A26&lt;&gt;"",IF(N26&lt;&gt;"",N26-L26,TODAY()-L26),"")</f>
        <v>46164</v>
      </c>
      <c r="P26" s="20"/>
    </row>
    <row r="27" customFormat="false" ht="15" hidden="false" customHeight="false" outlineLevel="0" collapsed="false">
      <c r="A27" s="21" t="s">
        <v>65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 t="n">
        <f aca="true">IF(A27&lt;&gt;"",IF(N27&lt;&gt;"",N27-L27,TODAY()-L27),"")</f>
        <v>46164</v>
      </c>
      <c r="P27" s="21"/>
    </row>
    <row r="28" customFormat="false" ht="15" hidden="false" customHeight="false" outlineLevel="0" collapsed="false">
      <c r="A28" s="20" t="s">
        <v>66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 t="n">
        <f aca="true">IF(A28&lt;&gt;"",IF(N28&lt;&gt;"",N28-L28,TODAY()-L28),"")</f>
        <v>46164</v>
      </c>
      <c r="P28" s="20"/>
    </row>
    <row r="29" customFormat="false" ht="15" hidden="false" customHeight="false" outlineLevel="0" collapsed="false">
      <c r="A29" s="21" t="s">
        <v>67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 t="n">
        <f aca="true">IF(A29&lt;&gt;"",IF(N29&lt;&gt;"",N29-L29,TODAY()-L29),"")</f>
        <v>46164</v>
      </c>
      <c r="P29" s="21"/>
    </row>
    <row r="30" customFormat="false" ht="15" hidden="false" customHeight="false" outlineLevel="0" collapsed="false">
      <c r="A30" s="20" t="s">
        <v>68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 t="n">
        <f aca="true">IF(A30&lt;&gt;"",IF(N30&lt;&gt;"",N30-L30,TODAY()-L30),"")</f>
        <v>46164</v>
      </c>
      <c r="P30" s="20"/>
    </row>
    <row r="31" customFormat="false" ht="15" hidden="false" customHeight="false" outlineLevel="0" collapsed="false">
      <c r="A31" s="21" t="s">
        <v>69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 t="n">
        <f aca="true">IF(A31&lt;&gt;"",IF(N31&lt;&gt;"",N31-L31,TODAY()-L31),"")</f>
        <v>46164</v>
      </c>
      <c r="P31" s="21"/>
    </row>
    <row r="32" customFormat="false" ht="15" hidden="false" customHeight="false" outlineLevel="0" collapsed="false">
      <c r="A32" s="20" t="s">
        <v>70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 t="n">
        <f aca="true">IF(A32&lt;&gt;"",IF(N32&lt;&gt;"",N32-L32,TODAY()-L32),"")</f>
        <v>46164</v>
      </c>
      <c r="P32" s="20"/>
    </row>
    <row r="33" customFormat="false" ht="15" hidden="false" customHeight="false" outlineLevel="0" collapsed="false">
      <c r="A33" s="21" t="s">
        <v>71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 t="n">
        <f aca="true">IF(A33&lt;&gt;"",IF(N33&lt;&gt;"",N33-L33,TODAY()-L33),"")</f>
        <v>46164</v>
      </c>
      <c r="P33" s="21"/>
    </row>
    <row r="34" customFormat="false" ht="15" hidden="false" customHeight="false" outlineLevel="0" collapsed="false">
      <c r="A34" s="20" t="s">
        <v>72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 t="n">
        <f aca="true">IF(A34&lt;&gt;"",IF(N34&lt;&gt;"",N34-L34,TODAY()-L34),"")</f>
        <v>46164</v>
      </c>
      <c r="P34" s="20"/>
    </row>
    <row r="35" customFormat="false" ht="15" hidden="false" customHeight="false" outlineLevel="0" collapsed="false">
      <c r="A35" s="21" t="s">
        <v>73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 t="n">
        <f aca="true">IF(A35&lt;&gt;"",IF(N35&lt;&gt;"",N35-L35,TODAY()-L35),"")</f>
        <v>46164</v>
      </c>
      <c r="P35" s="21"/>
    </row>
    <row r="36" customFormat="false" ht="15" hidden="false" customHeight="false" outlineLevel="0" collapsed="false">
      <c r="A36" s="20" t="s">
        <v>74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 t="n">
        <f aca="true">IF(A36&lt;&gt;"",IF(N36&lt;&gt;"",N36-L36,TODAY()-L36),"")</f>
        <v>46164</v>
      </c>
      <c r="P36" s="20"/>
    </row>
    <row r="37" customFormat="false" ht="15" hidden="false" customHeight="false" outlineLevel="0" collapsed="false">
      <c r="A37" s="21" t="s">
        <v>75</v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 t="n">
        <f aca="true">IF(A37&lt;&gt;"",IF(N37&lt;&gt;"",N37-L37,TODAY()-L37),"")</f>
        <v>46164</v>
      </c>
      <c r="P37" s="21"/>
    </row>
    <row r="38" customFormat="false" ht="15" hidden="false" customHeight="false" outlineLevel="0" collapsed="false">
      <c r="A38" s="20" t="s">
        <v>76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 t="n">
        <f aca="true">IF(A38&lt;&gt;"",IF(N38&lt;&gt;"",N38-L38,TODAY()-L38),"")</f>
        <v>46164</v>
      </c>
      <c r="P38" s="20"/>
    </row>
    <row r="39" customFormat="false" ht="15" hidden="false" customHeight="false" outlineLevel="0" collapsed="false">
      <c r="A39" s="21" t="s">
        <v>77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 t="n">
        <f aca="true">IF(A39&lt;&gt;"",IF(N39&lt;&gt;"",N39-L39,TODAY()-L39),"")</f>
        <v>46164</v>
      </c>
      <c r="P39" s="21"/>
    </row>
    <row r="40" customFormat="false" ht="15" hidden="false" customHeight="false" outlineLevel="0" collapsed="false">
      <c r="A40" s="20" t="s">
        <v>78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 t="n">
        <f aca="true">IF(A40&lt;&gt;"",IF(N40&lt;&gt;"",N40-L40,TODAY()-L40),"")</f>
        <v>46164</v>
      </c>
      <c r="P40" s="20"/>
    </row>
    <row r="41" customFormat="false" ht="15" hidden="false" customHeight="false" outlineLevel="0" collapsed="false">
      <c r="A41" s="21" t="s">
        <v>79</v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 t="n">
        <f aca="true">IF(A41&lt;&gt;"",IF(N41&lt;&gt;"",N41-L41,TODAY()-L41),"")</f>
        <v>46164</v>
      </c>
      <c r="P41" s="21"/>
    </row>
    <row r="42" customFormat="false" ht="15" hidden="false" customHeight="false" outlineLevel="0" collapsed="false">
      <c r="A42" s="20" t="s">
        <v>80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 t="n">
        <f aca="true">IF(A42&lt;&gt;"",IF(N42&lt;&gt;"",N42-L42,TODAY()-L42),"")</f>
        <v>46164</v>
      </c>
      <c r="P42" s="20"/>
    </row>
    <row r="43" customFormat="false" ht="15" hidden="false" customHeight="false" outlineLevel="0" collapsed="false">
      <c r="A43" s="21" t="s">
        <v>81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 t="n">
        <f aca="true">IF(A43&lt;&gt;"",IF(N43&lt;&gt;"",N43-L43,TODAY()-L43),"")</f>
        <v>46164</v>
      </c>
      <c r="P43" s="21"/>
    </row>
    <row r="44" customFormat="false" ht="15" hidden="false" customHeight="false" outlineLevel="0" collapsed="false">
      <c r="A44" s="20" t="s">
        <v>82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 t="n">
        <f aca="true">IF(A44&lt;&gt;"",IF(N44&lt;&gt;"",N44-L44,TODAY()-L44),"")</f>
        <v>46164</v>
      </c>
      <c r="P44" s="20"/>
    </row>
    <row r="45" customFormat="false" ht="15" hidden="false" customHeight="false" outlineLevel="0" collapsed="false">
      <c r="A45" s="21" t="s">
        <v>83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 t="n">
        <f aca="true">IF(A45&lt;&gt;"",IF(N45&lt;&gt;"",N45-L45,TODAY()-L45),"")</f>
        <v>46164</v>
      </c>
      <c r="P45" s="21"/>
    </row>
    <row r="46" customFormat="false" ht="15" hidden="false" customHeight="false" outlineLevel="0" collapsed="false">
      <c r="A46" s="20" t="s">
        <v>84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 t="n">
        <f aca="true">IF(A46&lt;&gt;"",IF(N46&lt;&gt;"",N46-L46,TODAY()-L46),"")</f>
        <v>46164</v>
      </c>
      <c r="P46" s="20"/>
    </row>
    <row r="47" customFormat="false" ht="15" hidden="false" customHeight="false" outlineLevel="0" collapsed="false">
      <c r="A47" s="21" t="s">
        <v>85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 t="n">
        <f aca="true">IF(A47&lt;&gt;"",IF(N47&lt;&gt;"",N47-L47,TODAY()-L47),"")</f>
        <v>46164</v>
      </c>
      <c r="P47" s="21"/>
    </row>
    <row r="48" customFormat="false" ht="15" hidden="false" customHeight="false" outlineLevel="0" collapsed="false">
      <c r="A48" s="20" t="s">
        <v>86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 t="n">
        <f aca="true">IF(A48&lt;&gt;"",IF(N48&lt;&gt;"",N48-L48,TODAY()-L48),"")</f>
        <v>46164</v>
      </c>
      <c r="P48" s="20"/>
    </row>
    <row r="49" customFormat="false" ht="15" hidden="false" customHeight="false" outlineLevel="0" collapsed="false">
      <c r="A49" s="21" t="s">
        <v>87</v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 t="n">
        <f aca="true">IF(A49&lt;&gt;"",IF(N49&lt;&gt;"",N49-L49,TODAY()-L49),"")</f>
        <v>46164</v>
      </c>
      <c r="P49" s="21"/>
    </row>
    <row r="50" customFormat="false" ht="15" hidden="false" customHeight="false" outlineLevel="0" collapsed="false">
      <c r="A50" s="20" t="s">
        <v>88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 t="n">
        <f aca="true">IF(A50&lt;&gt;"",IF(N50&lt;&gt;"",N50-L50,TODAY()-L50),"")</f>
        <v>46164</v>
      </c>
      <c r="P50" s="20"/>
    </row>
    <row r="51" customFormat="false" ht="15" hidden="false" customHeight="false" outlineLevel="0" collapsed="false">
      <c r="A51" s="21" t="s">
        <v>89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 t="n">
        <f aca="true">IF(A51&lt;&gt;"",IF(N51&lt;&gt;"",N51-L51,TODAY()-L51),"")</f>
        <v>46164</v>
      </c>
      <c r="P51" s="21"/>
    </row>
    <row r="52" customFormat="false" ht="15" hidden="false" customHeight="false" outlineLevel="0" collapsed="false">
      <c r="A52" s="20" t="s">
        <v>90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 t="n">
        <f aca="true">IF(A52&lt;&gt;"",IF(N52&lt;&gt;"",N52-L52,TODAY()-L52),"")</f>
        <v>46164</v>
      </c>
      <c r="P52" s="20"/>
    </row>
    <row r="53" customFormat="false" ht="15" hidden="false" customHeight="false" outlineLevel="0" collapsed="false">
      <c r="A53" s="21" t="s">
        <v>91</v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 t="n">
        <f aca="true">IF(A53&lt;&gt;"",IF(N53&lt;&gt;"",N53-L53,TODAY()-L53),"")</f>
        <v>46164</v>
      </c>
      <c r="P53" s="21"/>
    </row>
    <row r="54" customFormat="false" ht="15" hidden="false" customHeight="false" outlineLevel="0" collapsed="false">
      <c r="A54" s="20" t="s">
        <v>92</v>
      </c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 t="n">
        <f aca="true">IF(A54&lt;&gt;"",IF(N54&lt;&gt;"",N54-L54,TODAY()-L54),"")</f>
        <v>46164</v>
      </c>
      <c r="P54" s="20"/>
    </row>
    <row r="55" customFormat="false" ht="15" hidden="false" customHeight="false" outlineLevel="0" collapsed="false">
      <c r="A55" s="21" t="s">
        <v>93</v>
      </c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 t="n">
        <f aca="true">IF(A55&lt;&gt;"",IF(N55&lt;&gt;"",N55-L55,TODAY()-L55),"")</f>
        <v>46164</v>
      </c>
      <c r="P55" s="21"/>
    </row>
    <row r="56" customFormat="false" ht="15" hidden="false" customHeight="false" outlineLevel="0" collapsed="false">
      <c r="A56" s="20" t="s">
        <v>94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 t="n">
        <f aca="true">IF(A56&lt;&gt;"",IF(N56&lt;&gt;"",N56-L56,TODAY()-L56),"")</f>
        <v>46164</v>
      </c>
      <c r="P56" s="20"/>
    </row>
    <row r="57" customFormat="false" ht="15" hidden="false" customHeight="false" outlineLevel="0" collapsed="false">
      <c r="A57" s="21" t="s">
        <v>95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 t="n">
        <f aca="true">IF(A57&lt;&gt;"",IF(N57&lt;&gt;"",N57-L57,TODAY()-L57),"")</f>
        <v>46164</v>
      </c>
      <c r="P57" s="21"/>
    </row>
    <row r="58" customFormat="false" ht="15" hidden="false" customHeight="false" outlineLevel="0" collapsed="false">
      <c r="A58" s="20" t="s">
        <v>96</v>
      </c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 t="n">
        <f aca="true">IF(A58&lt;&gt;"",IF(N58&lt;&gt;"",N58-L58,TODAY()-L58),"")</f>
        <v>46164</v>
      </c>
      <c r="P58" s="20"/>
    </row>
    <row r="59" customFormat="false" ht="15" hidden="false" customHeight="false" outlineLevel="0" collapsed="false">
      <c r="A59" s="21" t="s">
        <v>97</v>
      </c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 t="n">
        <f aca="true">IF(A59&lt;&gt;"",IF(N59&lt;&gt;"",N59-L59,TODAY()-L59),"")</f>
        <v>46164</v>
      </c>
      <c r="P59" s="21"/>
    </row>
    <row r="60" customFormat="false" ht="15" hidden="false" customHeight="false" outlineLevel="0" collapsed="false">
      <c r="A60" s="20" t="s">
        <v>98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 t="n">
        <f aca="true">IF(A60&lt;&gt;"",IF(N60&lt;&gt;"",N60-L60,TODAY()-L60),"")</f>
        <v>46164</v>
      </c>
      <c r="P60" s="20"/>
    </row>
    <row r="61" customFormat="false" ht="15" hidden="false" customHeight="false" outlineLevel="0" collapsed="false">
      <c r="A61" s="21" t="s">
        <v>99</v>
      </c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 t="n">
        <f aca="true">IF(A61&lt;&gt;"",IF(N61&lt;&gt;"",N61-L61,TODAY()-L61),"")</f>
        <v>46164</v>
      </c>
      <c r="P61" s="21"/>
    </row>
    <row r="62" customFormat="false" ht="15" hidden="false" customHeight="false" outlineLevel="0" collapsed="false">
      <c r="A62" s="20" t="s">
        <v>100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 t="n">
        <f aca="true">IF(A62&lt;&gt;"",IF(N62&lt;&gt;"",N62-L62,TODAY()-L62),"")</f>
        <v>46164</v>
      </c>
      <c r="P62" s="20"/>
    </row>
    <row r="63" customFormat="false" ht="15" hidden="false" customHeight="false" outlineLevel="0" collapsed="false">
      <c r="A63" s="21" t="s">
        <v>101</v>
      </c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 t="n">
        <f aca="true">IF(A63&lt;&gt;"",IF(N63&lt;&gt;"",N63-L63,TODAY()-L63),"")</f>
        <v>46164</v>
      </c>
      <c r="P63" s="21"/>
    </row>
    <row r="64" customFormat="false" ht="15" hidden="false" customHeight="false" outlineLevel="0" collapsed="false">
      <c r="A64" s="20" t="s">
        <v>102</v>
      </c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 t="n">
        <f aca="true">IF(A64&lt;&gt;"",IF(N64&lt;&gt;"",N64-L64,TODAY()-L64),"")</f>
        <v>46164</v>
      </c>
      <c r="P64" s="20"/>
    </row>
    <row r="65" customFormat="false" ht="15" hidden="false" customHeight="false" outlineLevel="0" collapsed="false">
      <c r="A65" s="21" t="s">
        <v>103</v>
      </c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 t="n">
        <f aca="true">IF(A65&lt;&gt;"",IF(N65&lt;&gt;"",N65-L65,TODAY()-L65),"")</f>
        <v>46164</v>
      </c>
      <c r="P65" s="21"/>
    </row>
    <row r="66" customFormat="false" ht="15" hidden="false" customHeight="false" outlineLevel="0" collapsed="false">
      <c r="A66" s="20" t="s">
        <v>104</v>
      </c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 t="n">
        <f aca="true">IF(A66&lt;&gt;"",IF(N66&lt;&gt;"",N66-L66,TODAY()-L66),"")</f>
        <v>46164</v>
      </c>
      <c r="P66" s="20"/>
    </row>
    <row r="67" customFormat="false" ht="15" hidden="false" customHeight="false" outlineLevel="0" collapsed="false">
      <c r="A67" s="21" t="s">
        <v>105</v>
      </c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 t="n">
        <f aca="true">IF(A67&lt;&gt;"",IF(N67&lt;&gt;"",N67-L67,TODAY()-L67),"")</f>
        <v>46164</v>
      </c>
      <c r="P67" s="21"/>
    </row>
    <row r="68" customFormat="false" ht="15" hidden="false" customHeight="false" outlineLevel="0" collapsed="false">
      <c r="A68" s="20" t="s">
        <v>106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 t="n">
        <f aca="true">IF(A68&lt;&gt;"",IF(N68&lt;&gt;"",N68-L68,TODAY()-L68),"")</f>
        <v>46164</v>
      </c>
      <c r="P68" s="20"/>
    </row>
    <row r="69" customFormat="false" ht="15" hidden="false" customHeight="false" outlineLevel="0" collapsed="false">
      <c r="A69" s="21" t="s">
        <v>107</v>
      </c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 t="n">
        <f aca="true">IF(A69&lt;&gt;"",IF(N69&lt;&gt;"",N69-L69,TODAY()-L69),"")</f>
        <v>46164</v>
      </c>
      <c r="P69" s="21"/>
    </row>
    <row r="70" customFormat="false" ht="15" hidden="false" customHeight="false" outlineLevel="0" collapsed="false">
      <c r="A70" s="20" t="s">
        <v>108</v>
      </c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 t="n">
        <f aca="true">IF(A70&lt;&gt;"",IF(N70&lt;&gt;"",N70-L70,TODAY()-L70),"")</f>
        <v>46164</v>
      </c>
      <c r="P70" s="20"/>
    </row>
    <row r="71" customFormat="false" ht="15" hidden="false" customHeight="false" outlineLevel="0" collapsed="false">
      <c r="A71" s="21" t="s">
        <v>109</v>
      </c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 t="n">
        <f aca="true">IF(A71&lt;&gt;"",IF(N71&lt;&gt;"",N71-L71,TODAY()-L71),"")</f>
        <v>46164</v>
      </c>
      <c r="P71" s="21"/>
    </row>
    <row r="72" customFormat="false" ht="15" hidden="false" customHeight="false" outlineLevel="0" collapsed="false">
      <c r="A72" s="20" t="s">
        <v>110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 t="n">
        <f aca="true">IF(A72&lt;&gt;"",IF(N72&lt;&gt;"",N72-L72,TODAY()-L72),"")</f>
        <v>46164</v>
      </c>
      <c r="P72" s="20"/>
    </row>
    <row r="73" customFormat="false" ht="15" hidden="false" customHeight="false" outlineLevel="0" collapsed="false">
      <c r="A73" s="21" t="s">
        <v>111</v>
      </c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 t="n">
        <f aca="true">IF(A73&lt;&gt;"",IF(N73&lt;&gt;"",N73-L73,TODAY()-L73),"")</f>
        <v>46164</v>
      </c>
      <c r="P73" s="21"/>
    </row>
    <row r="74" customFormat="false" ht="15" hidden="false" customHeight="false" outlineLevel="0" collapsed="false">
      <c r="A74" s="20" t="s">
        <v>112</v>
      </c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 t="n">
        <f aca="true">IF(A74&lt;&gt;"",IF(N74&lt;&gt;"",N74-L74,TODAY()-L74),"")</f>
        <v>46164</v>
      </c>
      <c r="P74" s="20"/>
    </row>
    <row r="75" customFormat="false" ht="15" hidden="false" customHeight="false" outlineLevel="0" collapsed="false">
      <c r="A75" s="21" t="s">
        <v>113</v>
      </c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 t="n">
        <f aca="true">IF(A75&lt;&gt;"",IF(N75&lt;&gt;"",N75-L75,TODAY()-L75),"")</f>
        <v>46164</v>
      </c>
      <c r="P75" s="21"/>
    </row>
    <row r="76" customFormat="false" ht="15" hidden="false" customHeight="false" outlineLevel="0" collapsed="false">
      <c r="A76" s="20" t="s">
        <v>114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 t="n">
        <f aca="true">IF(A76&lt;&gt;"",IF(N76&lt;&gt;"",N76-L76,TODAY()-L76),"")</f>
        <v>46164</v>
      </c>
      <c r="P76" s="20"/>
    </row>
    <row r="77" customFormat="false" ht="15" hidden="false" customHeight="false" outlineLevel="0" collapsed="false">
      <c r="A77" s="21" t="s">
        <v>115</v>
      </c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 t="n">
        <f aca="true">IF(A77&lt;&gt;"",IF(N77&lt;&gt;"",N77-L77,TODAY()-L77),"")</f>
        <v>46164</v>
      </c>
      <c r="P77" s="21"/>
    </row>
    <row r="78" customFormat="false" ht="15" hidden="false" customHeight="false" outlineLevel="0" collapsed="false">
      <c r="A78" s="20" t="s">
        <v>116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 t="n">
        <f aca="true">IF(A78&lt;&gt;"",IF(N78&lt;&gt;"",N78-L78,TODAY()-L78),"")</f>
        <v>46164</v>
      </c>
      <c r="P78" s="20"/>
    </row>
    <row r="79" customFormat="false" ht="15" hidden="false" customHeight="false" outlineLevel="0" collapsed="false">
      <c r="A79" s="21" t="s">
        <v>117</v>
      </c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 t="n">
        <f aca="true">IF(A79&lt;&gt;"",IF(N79&lt;&gt;"",N79-L79,TODAY()-L79),"")</f>
        <v>46164</v>
      </c>
      <c r="P79" s="21"/>
    </row>
    <row r="80" customFormat="false" ht="15" hidden="false" customHeight="false" outlineLevel="0" collapsed="false">
      <c r="A80" s="20" t="s">
        <v>118</v>
      </c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 t="n">
        <f aca="true">IF(A80&lt;&gt;"",IF(N80&lt;&gt;"",N80-L80,TODAY()-L80),"")</f>
        <v>46164</v>
      </c>
      <c r="P80" s="20"/>
    </row>
    <row r="81" customFormat="false" ht="15" hidden="false" customHeight="false" outlineLevel="0" collapsed="false">
      <c r="A81" s="21" t="s">
        <v>119</v>
      </c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 t="n">
        <f aca="true">IF(A81&lt;&gt;"",IF(N81&lt;&gt;"",N81-L81,TODAY()-L81),"")</f>
        <v>46164</v>
      </c>
      <c r="P81" s="21"/>
    </row>
    <row r="82" customFormat="false" ht="15" hidden="false" customHeight="false" outlineLevel="0" collapsed="false">
      <c r="A82" s="20" t="s">
        <v>120</v>
      </c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 t="n">
        <f aca="true">IF(A82&lt;&gt;"",IF(N82&lt;&gt;"",N82-L82,TODAY()-L82),"")</f>
        <v>46164</v>
      </c>
      <c r="P82" s="20"/>
    </row>
    <row r="83" customFormat="false" ht="15" hidden="false" customHeight="false" outlineLevel="0" collapsed="false">
      <c r="A83" s="21" t="s">
        <v>121</v>
      </c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 t="n">
        <f aca="true">IF(A83&lt;&gt;"",IF(N83&lt;&gt;"",N83-L83,TODAY()-L83),"")</f>
        <v>46164</v>
      </c>
      <c r="P83" s="21"/>
    </row>
    <row r="84" customFormat="false" ht="15" hidden="false" customHeight="false" outlineLevel="0" collapsed="false">
      <c r="A84" s="20" t="s">
        <v>122</v>
      </c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 t="n">
        <f aca="true">IF(A84&lt;&gt;"",IF(N84&lt;&gt;"",N84-L84,TODAY()-L84),"")</f>
        <v>46164</v>
      </c>
      <c r="P84" s="20"/>
    </row>
    <row r="85" customFormat="false" ht="15" hidden="false" customHeight="false" outlineLevel="0" collapsed="false">
      <c r="A85" s="21" t="s">
        <v>123</v>
      </c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 t="n">
        <f aca="true">IF(A85&lt;&gt;"",IF(N85&lt;&gt;"",N85-L85,TODAY()-L85),"")</f>
        <v>46164</v>
      </c>
      <c r="P85" s="21"/>
    </row>
    <row r="86" customFormat="false" ht="15" hidden="false" customHeight="false" outlineLevel="0" collapsed="false">
      <c r="A86" s="20" t="s">
        <v>124</v>
      </c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 t="n">
        <f aca="true">IF(A86&lt;&gt;"",IF(N86&lt;&gt;"",N86-L86,TODAY()-L86),"")</f>
        <v>46164</v>
      </c>
      <c r="P86" s="20"/>
    </row>
    <row r="87" customFormat="false" ht="15" hidden="false" customHeight="false" outlineLevel="0" collapsed="false">
      <c r="A87" s="21" t="s">
        <v>125</v>
      </c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 t="n">
        <f aca="true">IF(A87&lt;&gt;"",IF(N87&lt;&gt;"",N87-L87,TODAY()-L87),"")</f>
        <v>46164</v>
      </c>
      <c r="P87" s="21"/>
    </row>
    <row r="88" customFormat="false" ht="15" hidden="false" customHeight="false" outlineLevel="0" collapsed="false">
      <c r="A88" s="20" t="s">
        <v>126</v>
      </c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 t="n">
        <f aca="true">IF(A88&lt;&gt;"",IF(N88&lt;&gt;"",N88-L88,TODAY()-L88),"")</f>
        <v>46164</v>
      </c>
      <c r="P88" s="20"/>
    </row>
    <row r="89" customFormat="false" ht="15" hidden="false" customHeight="false" outlineLevel="0" collapsed="false">
      <c r="A89" s="21" t="s">
        <v>127</v>
      </c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 t="n">
        <f aca="true">IF(A89&lt;&gt;"",IF(N89&lt;&gt;"",N89-L89,TODAY()-L89),"")</f>
        <v>46164</v>
      </c>
      <c r="P89" s="21"/>
    </row>
    <row r="90" customFormat="false" ht="15" hidden="false" customHeight="false" outlineLevel="0" collapsed="false">
      <c r="A90" s="20" t="s">
        <v>128</v>
      </c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 t="n">
        <f aca="true">IF(A90&lt;&gt;"",IF(N90&lt;&gt;"",N90-L90,TODAY()-L90),"")</f>
        <v>46164</v>
      </c>
      <c r="P90" s="20"/>
    </row>
    <row r="91" customFormat="false" ht="15" hidden="false" customHeight="false" outlineLevel="0" collapsed="false">
      <c r="A91" s="21" t="s">
        <v>129</v>
      </c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 t="n">
        <f aca="true">IF(A91&lt;&gt;"",IF(N91&lt;&gt;"",N91-L91,TODAY()-L91),"")</f>
        <v>46164</v>
      </c>
      <c r="P91" s="21"/>
    </row>
    <row r="92" customFormat="false" ht="15" hidden="false" customHeight="false" outlineLevel="0" collapsed="false">
      <c r="A92" s="20" t="s">
        <v>130</v>
      </c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 t="n">
        <f aca="true">IF(A92&lt;&gt;"",IF(N92&lt;&gt;"",N92-L92,TODAY()-L92),"")</f>
        <v>46164</v>
      </c>
      <c r="P92" s="20"/>
    </row>
    <row r="93" customFormat="false" ht="15" hidden="false" customHeight="false" outlineLevel="0" collapsed="false">
      <c r="A93" s="21" t="s">
        <v>131</v>
      </c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 t="n">
        <f aca="true">IF(A93&lt;&gt;"",IF(N93&lt;&gt;"",N93-L93,TODAY()-L93),"")</f>
        <v>46164</v>
      </c>
      <c r="P93" s="21"/>
    </row>
    <row r="94" customFormat="false" ht="15" hidden="false" customHeight="false" outlineLevel="0" collapsed="false">
      <c r="A94" s="20" t="s">
        <v>132</v>
      </c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 t="n">
        <f aca="true">IF(A94&lt;&gt;"",IF(N94&lt;&gt;"",N94-L94,TODAY()-L94),"")</f>
        <v>46164</v>
      </c>
      <c r="P94" s="20"/>
    </row>
    <row r="95" customFormat="false" ht="15" hidden="false" customHeight="false" outlineLevel="0" collapsed="false">
      <c r="A95" s="21" t="s">
        <v>133</v>
      </c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 t="n">
        <f aca="true">IF(A95&lt;&gt;"",IF(N95&lt;&gt;"",N95-L95,TODAY()-L95),"")</f>
        <v>46164</v>
      </c>
      <c r="P95" s="21"/>
    </row>
    <row r="96" customFormat="false" ht="15" hidden="false" customHeight="false" outlineLevel="0" collapsed="false">
      <c r="A96" s="20" t="s">
        <v>134</v>
      </c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 t="n">
        <f aca="true">IF(A96&lt;&gt;"",IF(N96&lt;&gt;"",N96-L96,TODAY()-L96),"")</f>
        <v>46164</v>
      </c>
      <c r="P96" s="20"/>
    </row>
    <row r="97" customFormat="false" ht="15" hidden="false" customHeight="false" outlineLevel="0" collapsed="false">
      <c r="A97" s="21" t="s">
        <v>135</v>
      </c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 t="n">
        <f aca="true">IF(A97&lt;&gt;"",IF(N97&lt;&gt;"",N97-L97,TODAY()-L97),"")</f>
        <v>46164</v>
      </c>
      <c r="P97" s="21"/>
    </row>
    <row r="98" customFormat="false" ht="15" hidden="false" customHeight="false" outlineLevel="0" collapsed="false">
      <c r="A98" s="20" t="s">
        <v>136</v>
      </c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 t="n">
        <f aca="true">IF(A98&lt;&gt;"",IF(N98&lt;&gt;"",N98-L98,TODAY()-L98),"")</f>
        <v>46164</v>
      </c>
      <c r="P98" s="20"/>
    </row>
    <row r="99" customFormat="false" ht="15" hidden="false" customHeight="false" outlineLevel="0" collapsed="false">
      <c r="A99" s="21" t="s">
        <v>137</v>
      </c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 t="n">
        <f aca="true">IF(A99&lt;&gt;"",IF(N99&lt;&gt;"",N99-L99,TODAY()-L99),"")</f>
        <v>46164</v>
      </c>
      <c r="P99" s="21"/>
    </row>
    <row r="100" customFormat="false" ht="15" hidden="false" customHeight="false" outlineLevel="0" collapsed="false">
      <c r="A100" s="20" t="s">
        <v>138</v>
      </c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 t="n">
        <f aca="true">IF(A100&lt;&gt;"",IF(N100&lt;&gt;"",N100-L100,TODAY()-L100),"")</f>
        <v>46164</v>
      </c>
      <c r="P100" s="20"/>
    </row>
    <row r="101" customFormat="false" ht="15" hidden="false" customHeight="false" outlineLevel="0" collapsed="false">
      <c r="A101" s="21" t="s">
        <v>139</v>
      </c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 t="n">
        <f aca="true">IF(A101&lt;&gt;"",IF(N101&lt;&gt;"",N101-L101,TODAY()-L101),"")</f>
        <v>46164</v>
      </c>
      <c r="P101" s="21"/>
    </row>
    <row r="102" customFormat="false" ht="15" hidden="false" customHeight="false" outlineLevel="0" collapsed="false">
      <c r="A102" s="20" t="s">
        <v>140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 t="n">
        <f aca="true">IF(A102&lt;&gt;"",IF(N102&lt;&gt;"",N102-L102,TODAY()-L102),"")</f>
        <v>46164</v>
      </c>
      <c r="P102" s="20"/>
    </row>
    <row r="103" customFormat="false" ht="15" hidden="false" customHeight="false" outlineLevel="0" collapsed="false">
      <c r="A103" s="21" t="s">
        <v>141</v>
      </c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 t="n">
        <f aca="true">IF(A103&lt;&gt;"",IF(N103&lt;&gt;"",N103-L103,TODAY()-L103),"")</f>
        <v>46164</v>
      </c>
      <c r="P103" s="21"/>
    </row>
  </sheetData>
  <mergeCells count="2">
    <mergeCell ref="A1:R1"/>
    <mergeCell ref="A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8B4"/>
    <pageSetUpPr fitToPage="false"/>
  </sheetPr>
  <dimension ref="A1:J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5"/>
    <col collapsed="false" customWidth="true" hidden="false" outlineLevel="0" max="3" min="3" style="0" width="14"/>
    <col collapsed="false" customWidth="true" hidden="false" outlineLevel="0" max="6" min="4" style="0" width="30"/>
    <col collapsed="false" customWidth="true" hidden="false" outlineLevel="0" max="7" min="7" style="0" width="20"/>
    <col collapsed="false" customWidth="true" hidden="false" outlineLevel="0" max="9" min="8" style="0" width="13"/>
    <col collapsed="false" customWidth="true" hidden="false" outlineLevel="0" max="10" min="10" style="0" width="30"/>
  </cols>
  <sheetData>
    <row r="1" customFormat="false" ht="27.75" hidden="false" customHeight="true" outlineLevel="0" collapsed="false">
      <c r="A1" s="22" t="s">
        <v>142</v>
      </c>
      <c r="B1" s="22"/>
      <c r="C1" s="22"/>
      <c r="D1" s="22"/>
      <c r="E1" s="22"/>
      <c r="F1" s="22"/>
      <c r="G1" s="22"/>
      <c r="H1" s="22"/>
      <c r="I1" s="22"/>
      <c r="J1" s="22"/>
    </row>
    <row r="2" customFormat="false" ht="15" hidden="false" customHeight="false" outlineLevel="0" collapsed="false">
      <c r="A2" s="23" t="s">
        <v>143</v>
      </c>
      <c r="B2" s="23" t="s">
        <v>144</v>
      </c>
      <c r="C2" s="23" t="s">
        <v>34</v>
      </c>
      <c r="D2" s="23" t="s">
        <v>145</v>
      </c>
      <c r="E2" s="23" t="s">
        <v>146</v>
      </c>
      <c r="F2" s="23" t="s">
        <v>147</v>
      </c>
      <c r="G2" s="23" t="s">
        <v>29</v>
      </c>
      <c r="H2" s="23" t="s">
        <v>37</v>
      </c>
      <c r="I2" s="23" t="s">
        <v>39</v>
      </c>
      <c r="J2" s="23" t="s">
        <v>14</v>
      </c>
    </row>
    <row r="3" customFormat="false" ht="15" hidden="false" customHeight="true" outlineLevel="0" collapsed="false">
      <c r="A3" s="19" t="s">
        <v>148</v>
      </c>
      <c r="B3" s="19"/>
      <c r="C3" s="19"/>
      <c r="D3" s="19"/>
      <c r="E3" s="19"/>
      <c r="F3" s="19"/>
      <c r="G3" s="19"/>
      <c r="H3" s="19"/>
      <c r="I3" s="19"/>
      <c r="J3" s="19"/>
    </row>
    <row r="4" customFormat="false" ht="15" hidden="false" customHeight="false" outlineLevel="0" collapsed="false">
      <c r="A4" s="20" t="s">
        <v>149</v>
      </c>
      <c r="B4" s="20"/>
      <c r="C4" s="20"/>
      <c r="D4" s="20"/>
      <c r="E4" s="20"/>
      <c r="F4" s="20"/>
      <c r="G4" s="20"/>
      <c r="H4" s="20"/>
      <c r="I4" s="20"/>
      <c r="J4" s="20"/>
    </row>
    <row r="5" customFormat="false" ht="15" hidden="false" customHeight="false" outlineLevel="0" collapsed="false">
      <c r="A5" s="21" t="s">
        <v>150</v>
      </c>
      <c r="B5" s="21"/>
      <c r="C5" s="21"/>
      <c r="D5" s="21"/>
      <c r="E5" s="21"/>
      <c r="F5" s="21"/>
      <c r="G5" s="21"/>
      <c r="H5" s="21"/>
      <c r="I5" s="21"/>
      <c r="J5" s="21"/>
    </row>
    <row r="6" customFormat="false" ht="15" hidden="false" customHeight="false" outlineLevel="0" collapsed="false">
      <c r="A6" s="20" t="s">
        <v>151</v>
      </c>
      <c r="B6" s="20"/>
      <c r="C6" s="20"/>
      <c r="D6" s="20"/>
      <c r="E6" s="20"/>
      <c r="F6" s="20"/>
      <c r="G6" s="20"/>
      <c r="H6" s="20"/>
      <c r="I6" s="20"/>
      <c r="J6" s="20"/>
    </row>
    <row r="7" customFormat="false" ht="15" hidden="false" customHeight="false" outlineLevel="0" collapsed="false">
      <c r="A7" s="21" t="s">
        <v>152</v>
      </c>
      <c r="B7" s="21"/>
      <c r="C7" s="21"/>
      <c r="D7" s="21"/>
      <c r="E7" s="21"/>
      <c r="F7" s="21"/>
      <c r="G7" s="21"/>
      <c r="H7" s="21"/>
      <c r="I7" s="21"/>
      <c r="J7" s="21"/>
    </row>
    <row r="8" customFormat="false" ht="15" hidden="false" customHeight="false" outlineLevel="0" collapsed="false">
      <c r="A8" s="20" t="s">
        <v>153</v>
      </c>
      <c r="B8" s="20"/>
      <c r="C8" s="20"/>
      <c r="D8" s="20"/>
      <c r="E8" s="20"/>
      <c r="F8" s="20"/>
      <c r="G8" s="20"/>
      <c r="H8" s="20"/>
      <c r="I8" s="20"/>
      <c r="J8" s="20"/>
    </row>
    <row r="9" customFormat="false" ht="15" hidden="false" customHeight="false" outlineLevel="0" collapsed="false">
      <c r="A9" s="21" t="s">
        <v>154</v>
      </c>
      <c r="B9" s="21"/>
      <c r="C9" s="21"/>
      <c r="D9" s="21"/>
      <c r="E9" s="21"/>
      <c r="F9" s="21"/>
      <c r="G9" s="21"/>
      <c r="H9" s="21"/>
      <c r="I9" s="21"/>
      <c r="J9" s="21"/>
    </row>
    <row r="10" customFormat="false" ht="15" hidden="false" customHeight="false" outlineLevel="0" collapsed="false">
      <c r="A10" s="20" t="s">
        <v>155</v>
      </c>
      <c r="B10" s="20"/>
      <c r="C10" s="20"/>
      <c r="D10" s="20"/>
      <c r="E10" s="20"/>
      <c r="F10" s="20"/>
      <c r="G10" s="20"/>
      <c r="H10" s="20"/>
      <c r="I10" s="20"/>
      <c r="J10" s="20"/>
    </row>
    <row r="11" customFormat="false" ht="15" hidden="false" customHeight="false" outlineLevel="0" collapsed="false">
      <c r="A11" s="21" t="s">
        <v>156</v>
      </c>
      <c r="B11" s="21"/>
      <c r="C11" s="21"/>
      <c r="D11" s="21"/>
      <c r="E11" s="21"/>
      <c r="F11" s="21"/>
      <c r="G11" s="21"/>
      <c r="H11" s="21"/>
      <c r="I11" s="21"/>
      <c r="J11" s="21"/>
    </row>
    <row r="12" customFormat="false" ht="15" hidden="false" customHeight="false" outlineLevel="0" collapsed="false">
      <c r="A12" s="20" t="s">
        <v>157</v>
      </c>
      <c r="B12" s="20"/>
      <c r="C12" s="20"/>
      <c r="D12" s="20"/>
      <c r="E12" s="20"/>
      <c r="F12" s="20"/>
      <c r="G12" s="20"/>
      <c r="H12" s="20"/>
      <c r="I12" s="20"/>
      <c r="J12" s="20"/>
    </row>
    <row r="13" customFormat="false" ht="15" hidden="false" customHeight="false" outlineLevel="0" collapsed="false">
      <c r="A13" s="21" t="s">
        <v>158</v>
      </c>
      <c r="B13" s="21"/>
      <c r="C13" s="21"/>
      <c r="D13" s="21"/>
      <c r="E13" s="21"/>
      <c r="F13" s="21"/>
      <c r="G13" s="21"/>
      <c r="H13" s="21"/>
      <c r="I13" s="21"/>
      <c r="J13" s="21"/>
    </row>
    <row r="14" customFormat="false" ht="15" hidden="false" customHeight="false" outlineLevel="0" collapsed="false">
      <c r="A14" s="20" t="s">
        <v>159</v>
      </c>
      <c r="B14" s="20"/>
      <c r="C14" s="20"/>
      <c r="D14" s="20"/>
      <c r="E14" s="20"/>
      <c r="F14" s="20"/>
      <c r="G14" s="20"/>
      <c r="H14" s="20"/>
      <c r="I14" s="20"/>
      <c r="J14" s="20"/>
    </row>
    <row r="15" customFormat="false" ht="15" hidden="false" customHeight="false" outlineLevel="0" collapsed="false">
      <c r="A15" s="21" t="s">
        <v>160</v>
      </c>
      <c r="B15" s="21"/>
      <c r="C15" s="21"/>
      <c r="D15" s="21"/>
      <c r="E15" s="21"/>
      <c r="F15" s="21"/>
      <c r="G15" s="21"/>
      <c r="H15" s="21"/>
      <c r="I15" s="21"/>
      <c r="J15" s="21"/>
    </row>
    <row r="16" customFormat="false" ht="15" hidden="false" customHeight="false" outlineLevel="0" collapsed="false">
      <c r="A16" s="20" t="s">
        <v>161</v>
      </c>
      <c r="B16" s="20"/>
      <c r="C16" s="20"/>
      <c r="D16" s="20"/>
      <c r="E16" s="20"/>
      <c r="F16" s="20"/>
      <c r="G16" s="20"/>
      <c r="H16" s="20"/>
      <c r="I16" s="20"/>
      <c r="J16" s="20"/>
    </row>
    <row r="17" customFormat="false" ht="15" hidden="false" customHeight="false" outlineLevel="0" collapsed="false">
      <c r="A17" s="21" t="s">
        <v>162</v>
      </c>
      <c r="B17" s="21"/>
      <c r="C17" s="21"/>
      <c r="D17" s="21"/>
      <c r="E17" s="21"/>
      <c r="F17" s="21"/>
      <c r="G17" s="21"/>
      <c r="H17" s="21"/>
      <c r="I17" s="21"/>
      <c r="J17" s="21"/>
    </row>
    <row r="18" customFormat="false" ht="15" hidden="false" customHeight="false" outlineLevel="0" collapsed="false">
      <c r="A18" s="20" t="s">
        <v>163</v>
      </c>
      <c r="B18" s="20"/>
      <c r="C18" s="20"/>
      <c r="D18" s="20"/>
      <c r="E18" s="20"/>
      <c r="F18" s="20"/>
      <c r="G18" s="20"/>
      <c r="H18" s="20"/>
      <c r="I18" s="20"/>
      <c r="J18" s="20"/>
    </row>
    <row r="19" customFormat="false" ht="15" hidden="false" customHeight="false" outlineLevel="0" collapsed="false">
      <c r="A19" s="21" t="s">
        <v>164</v>
      </c>
      <c r="B19" s="21"/>
      <c r="C19" s="21"/>
      <c r="D19" s="21"/>
      <c r="E19" s="21"/>
      <c r="F19" s="21"/>
      <c r="G19" s="21"/>
      <c r="H19" s="21"/>
      <c r="I19" s="21"/>
      <c r="J19" s="21"/>
    </row>
    <row r="20" customFormat="false" ht="15" hidden="false" customHeight="false" outlineLevel="0" collapsed="false">
      <c r="A20" s="20" t="s">
        <v>165</v>
      </c>
      <c r="B20" s="20"/>
      <c r="C20" s="20"/>
      <c r="D20" s="20"/>
      <c r="E20" s="20"/>
      <c r="F20" s="20"/>
      <c r="G20" s="20"/>
      <c r="H20" s="20"/>
      <c r="I20" s="20"/>
      <c r="J20" s="20"/>
    </row>
    <row r="21" customFormat="false" ht="15" hidden="false" customHeight="false" outlineLevel="0" collapsed="false">
      <c r="A21" s="21" t="s">
        <v>166</v>
      </c>
      <c r="B21" s="21"/>
      <c r="C21" s="21"/>
      <c r="D21" s="21"/>
      <c r="E21" s="21"/>
      <c r="F21" s="21"/>
      <c r="G21" s="21"/>
      <c r="H21" s="21"/>
      <c r="I21" s="21"/>
      <c r="J21" s="21"/>
    </row>
    <row r="22" customFormat="false" ht="15" hidden="false" customHeight="false" outlineLevel="0" collapsed="false">
      <c r="A22" s="20" t="s">
        <v>167</v>
      </c>
      <c r="B22" s="20"/>
      <c r="C22" s="20"/>
      <c r="D22" s="20"/>
      <c r="E22" s="20"/>
      <c r="F22" s="20"/>
      <c r="G22" s="20"/>
      <c r="H22" s="20"/>
      <c r="I22" s="20"/>
      <c r="J22" s="20"/>
    </row>
    <row r="23" customFormat="false" ht="15" hidden="false" customHeight="false" outlineLevel="0" collapsed="false">
      <c r="A23" s="21" t="s">
        <v>168</v>
      </c>
      <c r="B23" s="21"/>
      <c r="C23" s="21"/>
      <c r="D23" s="21"/>
      <c r="E23" s="21"/>
      <c r="F23" s="21"/>
      <c r="G23" s="21"/>
      <c r="H23" s="21"/>
      <c r="I23" s="21"/>
      <c r="J23" s="21"/>
    </row>
    <row r="24" customFormat="false" ht="15" hidden="false" customHeight="false" outlineLevel="0" collapsed="false">
      <c r="A24" s="20" t="s">
        <v>169</v>
      </c>
      <c r="B24" s="20"/>
      <c r="C24" s="20"/>
      <c r="D24" s="20"/>
      <c r="E24" s="20"/>
      <c r="F24" s="20"/>
      <c r="G24" s="20"/>
      <c r="H24" s="20"/>
      <c r="I24" s="20"/>
      <c r="J24" s="20"/>
    </row>
    <row r="25" customFormat="false" ht="15" hidden="false" customHeight="false" outlineLevel="0" collapsed="false">
      <c r="A25" s="21" t="s">
        <v>170</v>
      </c>
      <c r="B25" s="21"/>
      <c r="C25" s="21"/>
      <c r="D25" s="21"/>
      <c r="E25" s="21"/>
      <c r="F25" s="21"/>
      <c r="G25" s="21"/>
      <c r="H25" s="21"/>
      <c r="I25" s="21"/>
      <c r="J25" s="21"/>
    </row>
    <row r="26" customFormat="false" ht="15" hidden="false" customHeight="false" outlineLevel="0" collapsed="false">
      <c r="A26" s="20" t="s">
        <v>171</v>
      </c>
      <c r="B26" s="20"/>
      <c r="C26" s="20"/>
      <c r="D26" s="20"/>
      <c r="E26" s="20"/>
      <c r="F26" s="20"/>
      <c r="G26" s="20"/>
      <c r="H26" s="20"/>
      <c r="I26" s="20"/>
      <c r="J26" s="20"/>
    </row>
    <row r="27" customFormat="false" ht="15" hidden="false" customHeight="false" outlineLevel="0" collapsed="false">
      <c r="A27" s="21" t="s">
        <v>172</v>
      </c>
      <c r="B27" s="21"/>
      <c r="C27" s="21"/>
      <c r="D27" s="21"/>
      <c r="E27" s="21"/>
      <c r="F27" s="21"/>
      <c r="G27" s="21"/>
      <c r="H27" s="21"/>
      <c r="I27" s="21"/>
      <c r="J27" s="21"/>
    </row>
    <row r="28" customFormat="false" ht="15" hidden="false" customHeight="false" outlineLevel="0" collapsed="false">
      <c r="A28" s="20" t="s">
        <v>173</v>
      </c>
      <c r="B28" s="20"/>
      <c r="C28" s="20"/>
      <c r="D28" s="20"/>
      <c r="E28" s="20"/>
      <c r="F28" s="20"/>
      <c r="G28" s="20"/>
      <c r="H28" s="20"/>
      <c r="I28" s="20"/>
      <c r="J28" s="20"/>
    </row>
    <row r="29" customFormat="false" ht="15" hidden="false" customHeight="false" outlineLevel="0" collapsed="false">
      <c r="A29" s="21" t="s">
        <v>174</v>
      </c>
      <c r="B29" s="21"/>
      <c r="C29" s="21"/>
      <c r="D29" s="21"/>
      <c r="E29" s="21"/>
      <c r="F29" s="21"/>
      <c r="G29" s="21"/>
      <c r="H29" s="21"/>
      <c r="I29" s="21"/>
      <c r="J29" s="21"/>
    </row>
    <row r="30" customFormat="false" ht="15" hidden="false" customHeight="false" outlineLevel="0" collapsed="false">
      <c r="A30" s="20" t="s">
        <v>175</v>
      </c>
      <c r="B30" s="20"/>
      <c r="C30" s="20"/>
      <c r="D30" s="20"/>
      <c r="E30" s="20"/>
      <c r="F30" s="20"/>
      <c r="G30" s="20"/>
      <c r="H30" s="20"/>
      <c r="I30" s="20"/>
      <c r="J30" s="20"/>
    </row>
    <row r="31" customFormat="false" ht="15" hidden="false" customHeight="false" outlineLevel="0" collapsed="false">
      <c r="A31" s="21" t="s">
        <v>176</v>
      </c>
      <c r="B31" s="21"/>
      <c r="C31" s="21"/>
      <c r="D31" s="21"/>
      <c r="E31" s="21"/>
      <c r="F31" s="21"/>
      <c r="G31" s="21"/>
      <c r="H31" s="21"/>
      <c r="I31" s="21"/>
      <c r="J31" s="21"/>
    </row>
    <row r="32" customFormat="false" ht="15" hidden="false" customHeight="false" outlineLevel="0" collapsed="false">
      <c r="A32" s="20" t="s">
        <v>177</v>
      </c>
      <c r="B32" s="20"/>
      <c r="C32" s="20"/>
      <c r="D32" s="20"/>
      <c r="E32" s="20"/>
      <c r="F32" s="20"/>
      <c r="G32" s="20"/>
      <c r="H32" s="20"/>
      <c r="I32" s="20"/>
      <c r="J32" s="20"/>
    </row>
    <row r="33" customFormat="false" ht="15" hidden="false" customHeight="false" outlineLevel="0" collapsed="false">
      <c r="A33" s="21" t="s">
        <v>178</v>
      </c>
      <c r="B33" s="21"/>
      <c r="C33" s="21"/>
      <c r="D33" s="21"/>
      <c r="E33" s="21"/>
      <c r="F33" s="21"/>
      <c r="G33" s="21"/>
      <c r="H33" s="21"/>
      <c r="I33" s="21"/>
      <c r="J33" s="21"/>
    </row>
    <row r="34" customFormat="false" ht="15" hidden="false" customHeight="false" outlineLevel="0" collapsed="false">
      <c r="A34" s="20" t="s">
        <v>179</v>
      </c>
      <c r="B34" s="20"/>
      <c r="C34" s="20"/>
      <c r="D34" s="20"/>
      <c r="E34" s="20"/>
      <c r="F34" s="20"/>
      <c r="G34" s="20"/>
      <c r="H34" s="20"/>
      <c r="I34" s="20"/>
      <c r="J34" s="20"/>
    </row>
    <row r="35" customFormat="false" ht="15" hidden="false" customHeight="false" outlineLevel="0" collapsed="false">
      <c r="A35" s="21" t="s">
        <v>180</v>
      </c>
      <c r="B35" s="21"/>
      <c r="C35" s="21"/>
      <c r="D35" s="21"/>
      <c r="E35" s="21"/>
      <c r="F35" s="21"/>
      <c r="G35" s="21"/>
      <c r="H35" s="21"/>
      <c r="I35" s="21"/>
      <c r="J35" s="21"/>
    </row>
    <row r="36" customFormat="false" ht="15" hidden="false" customHeight="false" outlineLevel="0" collapsed="false">
      <c r="A36" s="20" t="s">
        <v>181</v>
      </c>
      <c r="B36" s="20"/>
      <c r="C36" s="20"/>
      <c r="D36" s="20"/>
      <c r="E36" s="20"/>
      <c r="F36" s="20"/>
      <c r="G36" s="20"/>
      <c r="H36" s="20"/>
      <c r="I36" s="20"/>
      <c r="J36" s="20"/>
    </row>
    <row r="37" customFormat="false" ht="15" hidden="false" customHeight="false" outlineLevel="0" collapsed="false">
      <c r="A37" s="21" t="s">
        <v>182</v>
      </c>
      <c r="B37" s="21"/>
      <c r="C37" s="21"/>
      <c r="D37" s="21"/>
      <c r="E37" s="21"/>
      <c r="F37" s="21"/>
      <c r="G37" s="21"/>
      <c r="H37" s="21"/>
      <c r="I37" s="21"/>
      <c r="J37" s="21"/>
    </row>
    <row r="38" customFormat="false" ht="15" hidden="false" customHeight="false" outlineLevel="0" collapsed="false">
      <c r="A38" s="20" t="s">
        <v>183</v>
      </c>
      <c r="B38" s="20"/>
      <c r="C38" s="20"/>
      <c r="D38" s="20"/>
      <c r="E38" s="20"/>
      <c r="F38" s="20"/>
      <c r="G38" s="20"/>
      <c r="H38" s="20"/>
      <c r="I38" s="20"/>
      <c r="J38" s="20"/>
    </row>
    <row r="39" customFormat="false" ht="15" hidden="false" customHeight="false" outlineLevel="0" collapsed="false">
      <c r="A39" s="21" t="s">
        <v>184</v>
      </c>
      <c r="B39" s="21"/>
      <c r="C39" s="21"/>
      <c r="D39" s="21"/>
      <c r="E39" s="21"/>
      <c r="F39" s="21"/>
      <c r="G39" s="21"/>
      <c r="H39" s="21"/>
      <c r="I39" s="21"/>
      <c r="J39" s="21"/>
    </row>
    <row r="40" customFormat="false" ht="15" hidden="false" customHeight="false" outlineLevel="0" collapsed="false">
      <c r="A40" s="20" t="s">
        <v>185</v>
      </c>
      <c r="B40" s="20"/>
      <c r="C40" s="20"/>
      <c r="D40" s="20"/>
      <c r="E40" s="20"/>
      <c r="F40" s="20"/>
      <c r="G40" s="20"/>
      <c r="H40" s="20"/>
      <c r="I40" s="20"/>
      <c r="J40" s="20"/>
    </row>
    <row r="41" customFormat="false" ht="15" hidden="false" customHeight="false" outlineLevel="0" collapsed="false">
      <c r="A41" s="21" t="s">
        <v>186</v>
      </c>
      <c r="B41" s="21"/>
      <c r="C41" s="21"/>
      <c r="D41" s="21"/>
      <c r="E41" s="21"/>
      <c r="F41" s="21"/>
      <c r="G41" s="21"/>
      <c r="H41" s="21"/>
      <c r="I41" s="21"/>
      <c r="J41" s="21"/>
    </row>
    <row r="42" customFormat="false" ht="15" hidden="false" customHeight="false" outlineLevel="0" collapsed="false">
      <c r="A42" s="20" t="s">
        <v>187</v>
      </c>
      <c r="B42" s="20"/>
      <c r="C42" s="20"/>
      <c r="D42" s="20"/>
      <c r="E42" s="20"/>
      <c r="F42" s="20"/>
      <c r="G42" s="20"/>
      <c r="H42" s="20"/>
      <c r="I42" s="20"/>
      <c r="J42" s="20"/>
    </row>
    <row r="43" customFormat="false" ht="15" hidden="false" customHeight="false" outlineLevel="0" collapsed="false">
      <c r="A43" s="21" t="s">
        <v>188</v>
      </c>
      <c r="B43" s="21"/>
      <c r="C43" s="21"/>
      <c r="D43" s="21"/>
      <c r="E43" s="21"/>
      <c r="F43" s="21"/>
      <c r="G43" s="21"/>
      <c r="H43" s="21"/>
      <c r="I43" s="21"/>
      <c r="J43" s="21"/>
    </row>
    <row r="44" customFormat="false" ht="15" hidden="false" customHeight="false" outlineLevel="0" collapsed="false">
      <c r="A44" s="20" t="s">
        <v>189</v>
      </c>
      <c r="B44" s="20"/>
      <c r="C44" s="20"/>
      <c r="D44" s="20"/>
      <c r="E44" s="20"/>
      <c r="F44" s="20"/>
      <c r="G44" s="20"/>
      <c r="H44" s="20"/>
      <c r="I44" s="20"/>
      <c r="J44" s="20"/>
    </row>
    <row r="45" customFormat="false" ht="15" hidden="false" customHeight="false" outlineLevel="0" collapsed="false">
      <c r="A45" s="21" t="s">
        <v>190</v>
      </c>
      <c r="B45" s="21"/>
      <c r="C45" s="21"/>
      <c r="D45" s="21"/>
      <c r="E45" s="21"/>
      <c r="F45" s="21"/>
      <c r="G45" s="21"/>
      <c r="H45" s="21"/>
      <c r="I45" s="21"/>
      <c r="J45" s="21"/>
    </row>
    <row r="46" customFormat="false" ht="15" hidden="false" customHeight="false" outlineLevel="0" collapsed="false">
      <c r="A46" s="20" t="s">
        <v>191</v>
      </c>
      <c r="B46" s="20"/>
      <c r="C46" s="20"/>
      <c r="D46" s="20"/>
      <c r="E46" s="20"/>
      <c r="F46" s="20"/>
      <c r="G46" s="20"/>
      <c r="H46" s="20"/>
      <c r="I46" s="20"/>
      <c r="J46" s="20"/>
    </row>
    <row r="47" customFormat="false" ht="15" hidden="false" customHeight="false" outlineLevel="0" collapsed="false">
      <c r="A47" s="21" t="s">
        <v>192</v>
      </c>
      <c r="B47" s="21"/>
      <c r="C47" s="21"/>
      <c r="D47" s="21"/>
      <c r="E47" s="21"/>
      <c r="F47" s="21"/>
      <c r="G47" s="21"/>
      <c r="H47" s="21"/>
      <c r="I47" s="21"/>
      <c r="J47" s="21"/>
    </row>
    <row r="48" customFormat="false" ht="15" hidden="false" customHeight="false" outlineLevel="0" collapsed="false">
      <c r="A48" s="20" t="s">
        <v>193</v>
      </c>
      <c r="B48" s="20"/>
      <c r="C48" s="20"/>
      <c r="D48" s="20"/>
      <c r="E48" s="20"/>
      <c r="F48" s="20"/>
      <c r="G48" s="20"/>
      <c r="H48" s="20"/>
      <c r="I48" s="20"/>
      <c r="J48" s="20"/>
    </row>
    <row r="49" customFormat="false" ht="15" hidden="false" customHeight="false" outlineLevel="0" collapsed="false">
      <c r="A49" s="21" t="s">
        <v>194</v>
      </c>
      <c r="B49" s="21"/>
      <c r="C49" s="21"/>
      <c r="D49" s="21"/>
      <c r="E49" s="21"/>
      <c r="F49" s="21"/>
      <c r="G49" s="21"/>
      <c r="H49" s="21"/>
      <c r="I49" s="21"/>
      <c r="J49" s="21"/>
    </row>
    <row r="50" customFormat="false" ht="15" hidden="false" customHeight="false" outlineLevel="0" collapsed="false">
      <c r="A50" s="20" t="s">
        <v>195</v>
      </c>
      <c r="B50" s="20"/>
      <c r="C50" s="20"/>
      <c r="D50" s="20"/>
      <c r="E50" s="20"/>
      <c r="F50" s="20"/>
      <c r="G50" s="20"/>
      <c r="H50" s="20"/>
      <c r="I50" s="20"/>
      <c r="J50" s="20"/>
    </row>
    <row r="51" customFormat="false" ht="15" hidden="false" customHeight="false" outlineLevel="0" collapsed="false">
      <c r="A51" s="21" t="s">
        <v>196</v>
      </c>
      <c r="B51" s="21"/>
      <c r="C51" s="21"/>
      <c r="D51" s="21"/>
      <c r="E51" s="21"/>
      <c r="F51" s="21"/>
      <c r="G51" s="21"/>
      <c r="H51" s="21"/>
      <c r="I51" s="21"/>
      <c r="J51" s="21"/>
    </row>
    <row r="52" customFormat="false" ht="15" hidden="false" customHeight="false" outlineLevel="0" collapsed="false">
      <c r="A52" s="20" t="s">
        <v>197</v>
      </c>
      <c r="B52" s="20"/>
      <c r="C52" s="20"/>
      <c r="D52" s="20"/>
      <c r="E52" s="20"/>
      <c r="F52" s="20"/>
      <c r="G52" s="20"/>
      <c r="H52" s="20"/>
      <c r="I52" s="20"/>
      <c r="J52" s="20"/>
    </row>
    <row r="53" customFormat="false" ht="15" hidden="false" customHeight="false" outlineLevel="0" collapsed="false">
      <c r="A53" s="21" t="s">
        <v>198</v>
      </c>
      <c r="B53" s="21"/>
      <c r="C53" s="21"/>
      <c r="D53" s="21"/>
      <c r="E53" s="21"/>
      <c r="F53" s="21"/>
      <c r="G53" s="21"/>
      <c r="H53" s="21"/>
      <c r="I53" s="21"/>
      <c r="J53" s="21"/>
    </row>
  </sheetData>
  <mergeCells count="2">
    <mergeCell ref="A1:J1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O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4"/>
    <col collapsed="false" customWidth="true" hidden="false" outlineLevel="0" max="13" min="13" style="0" width="30"/>
  </cols>
  <sheetData>
    <row r="1" customFormat="false" ht="27.75" hidden="false" customHeight="true" outlineLevel="0" collapsed="false">
      <c r="A1" s="24" t="s">
        <v>199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customFormat="false" ht="26.85" hidden="false" customHeight="false" outlineLevel="0" collapsed="false">
      <c r="A2" s="25" t="s">
        <v>200</v>
      </c>
      <c r="B2" s="25" t="s">
        <v>28</v>
      </c>
      <c r="C2" s="25" t="s">
        <v>29</v>
      </c>
      <c r="D2" s="25" t="s">
        <v>7</v>
      </c>
      <c r="E2" s="25" t="s">
        <v>201</v>
      </c>
      <c r="F2" s="25" t="s">
        <v>34</v>
      </c>
      <c r="G2" s="25" t="s">
        <v>202</v>
      </c>
      <c r="H2" s="25" t="s">
        <v>37</v>
      </c>
      <c r="I2" s="25" t="s">
        <v>203</v>
      </c>
      <c r="J2" s="25" t="s">
        <v>39</v>
      </c>
      <c r="K2" s="25" t="s">
        <v>40</v>
      </c>
      <c r="L2" s="25" t="s">
        <v>204</v>
      </c>
      <c r="M2" s="25" t="s">
        <v>14</v>
      </c>
    </row>
    <row r="3" customFormat="false" ht="15" hidden="false" customHeight="true" outlineLevel="0" collapsed="false">
      <c r="A3" s="19" t="s">
        <v>205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customFormat="false" ht="15" hidden="false" customHeight="false" outlineLevel="0" collapsed="false">
      <c r="A4" s="20" t="s">
        <v>206</v>
      </c>
      <c r="B4" s="20"/>
      <c r="C4" s="20"/>
      <c r="D4" s="20"/>
      <c r="E4" s="20"/>
      <c r="F4" s="20"/>
      <c r="G4" s="20"/>
      <c r="H4" s="20"/>
      <c r="I4" s="20"/>
      <c r="J4" s="20"/>
      <c r="K4" s="20" t="n">
        <f aca="true">IF(A4&lt;&gt;"",IF(J4&lt;&gt;"",J4-H4,TODAY()-H4),"")</f>
        <v>46164</v>
      </c>
      <c r="L4" s="20"/>
      <c r="M4" s="20"/>
    </row>
    <row r="5" customFormat="false" ht="15" hidden="false" customHeight="false" outlineLevel="0" collapsed="false">
      <c r="A5" s="21" t="s">
        <v>207</v>
      </c>
      <c r="B5" s="21"/>
      <c r="C5" s="21"/>
      <c r="D5" s="21"/>
      <c r="E5" s="21"/>
      <c r="F5" s="21"/>
      <c r="G5" s="21"/>
      <c r="H5" s="21"/>
      <c r="I5" s="21"/>
      <c r="J5" s="21"/>
      <c r="K5" s="21" t="n">
        <f aca="true">IF(A5&lt;&gt;"",IF(J5&lt;&gt;"",J5-H5,TODAY()-H5),"")</f>
        <v>46164</v>
      </c>
      <c r="L5" s="21"/>
      <c r="M5" s="21"/>
    </row>
    <row r="6" customFormat="false" ht="15" hidden="false" customHeight="false" outlineLevel="0" collapsed="false">
      <c r="A6" s="20" t="s">
        <v>208</v>
      </c>
      <c r="B6" s="20"/>
      <c r="C6" s="20"/>
      <c r="D6" s="20"/>
      <c r="E6" s="20"/>
      <c r="F6" s="20"/>
      <c r="G6" s="20"/>
      <c r="H6" s="20"/>
      <c r="I6" s="20"/>
      <c r="J6" s="20"/>
      <c r="K6" s="20" t="n">
        <f aca="true">IF(A6&lt;&gt;"",IF(J6&lt;&gt;"",J6-H6,TODAY()-H6),"")</f>
        <v>46164</v>
      </c>
      <c r="L6" s="20"/>
      <c r="M6" s="20"/>
    </row>
    <row r="7" customFormat="false" ht="15" hidden="false" customHeight="false" outlineLevel="0" collapsed="false">
      <c r="A7" s="21" t="s">
        <v>209</v>
      </c>
      <c r="B7" s="21"/>
      <c r="C7" s="21"/>
      <c r="D7" s="21"/>
      <c r="E7" s="21"/>
      <c r="F7" s="21"/>
      <c r="G7" s="21"/>
      <c r="H7" s="21"/>
      <c r="I7" s="21"/>
      <c r="J7" s="21"/>
      <c r="K7" s="21" t="n">
        <f aca="true">IF(A7&lt;&gt;"",IF(J7&lt;&gt;"",J7-H7,TODAY()-H7),"")</f>
        <v>46164</v>
      </c>
      <c r="L7" s="21"/>
      <c r="M7" s="21"/>
    </row>
    <row r="8" customFormat="false" ht="15" hidden="false" customHeight="false" outlineLevel="0" collapsed="false">
      <c r="A8" s="20" t="s">
        <v>210</v>
      </c>
      <c r="B8" s="20"/>
      <c r="C8" s="20"/>
      <c r="D8" s="20"/>
      <c r="E8" s="20"/>
      <c r="F8" s="20"/>
      <c r="G8" s="20"/>
      <c r="H8" s="20"/>
      <c r="I8" s="20"/>
      <c r="J8" s="20"/>
      <c r="K8" s="20" t="n">
        <f aca="true">IF(A8&lt;&gt;"",IF(J8&lt;&gt;"",J8-H8,TODAY()-H8),"")</f>
        <v>46164</v>
      </c>
      <c r="L8" s="20"/>
      <c r="M8" s="20"/>
    </row>
    <row r="9" customFormat="false" ht="15" hidden="false" customHeight="false" outlineLevel="0" collapsed="false">
      <c r="A9" s="21" t="s">
        <v>211</v>
      </c>
      <c r="B9" s="21"/>
      <c r="C9" s="21"/>
      <c r="D9" s="21"/>
      <c r="E9" s="21"/>
      <c r="F9" s="21"/>
      <c r="G9" s="21"/>
      <c r="H9" s="21"/>
      <c r="I9" s="21"/>
      <c r="J9" s="21"/>
      <c r="K9" s="21" t="n">
        <f aca="true">IF(A9&lt;&gt;"",IF(J9&lt;&gt;"",J9-H9,TODAY()-H9),"")</f>
        <v>46164</v>
      </c>
      <c r="L9" s="21"/>
      <c r="M9" s="21"/>
    </row>
    <row r="10" customFormat="false" ht="15" hidden="false" customHeight="false" outlineLevel="0" collapsed="false">
      <c r="A10" s="20" t="s">
        <v>212</v>
      </c>
      <c r="B10" s="20"/>
      <c r="C10" s="20"/>
      <c r="D10" s="20"/>
      <c r="E10" s="20"/>
      <c r="F10" s="20"/>
      <c r="G10" s="20"/>
      <c r="H10" s="20"/>
      <c r="I10" s="20"/>
      <c r="J10" s="20"/>
      <c r="K10" s="20" t="n">
        <f aca="true">IF(A10&lt;&gt;"",IF(J10&lt;&gt;"",J10-H10,TODAY()-H10),"")</f>
        <v>46164</v>
      </c>
      <c r="L10" s="20"/>
      <c r="M10" s="20"/>
    </row>
    <row r="11" customFormat="false" ht="15" hidden="false" customHeight="false" outlineLevel="0" collapsed="false">
      <c r="A11" s="21" t="s">
        <v>213</v>
      </c>
      <c r="B11" s="21"/>
      <c r="C11" s="21"/>
      <c r="D11" s="21"/>
      <c r="E11" s="21"/>
      <c r="F11" s="21"/>
      <c r="G11" s="21"/>
      <c r="H11" s="21"/>
      <c r="I11" s="21"/>
      <c r="J11" s="21"/>
      <c r="K11" s="21" t="n">
        <f aca="true">IF(A11&lt;&gt;"",IF(J11&lt;&gt;"",J11-H11,TODAY()-H11),"")</f>
        <v>46164</v>
      </c>
      <c r="L11" s="21"/>
      <c r="M11" s="21"/>
    </row>
    <row r="12" customFormat="false" ht="15" hidden="false" customHeight="false" outlineLevel="0" collapsed="false">
      <c r="A12" s="20" t="s">
        <v>214</v>
      </c>
      <c r="B12" s="20"/>
      <c r="C12" s="20"/>
      <c r="D12" s="20"/>
      <c r="E12" s="20"/>
      <c r="F12" s="20"/>
      <c r="G12" s="20"/>
      <c r="H12" s="20"/>
      <c r="I12" s="20"/>
      <c r="J12" s="20"/>
      <c r="K12" s="20" t="n">
        <f aca="true">IF(A12&lt;&gt;"",IF(J12&lt;&gt;"",J12-H12,TODAY()-H12),"")</f>
        <v>46164</v>
      </c>
      <c r="L12" s="20"/>
      <c r="M12" s="20"/>
    </row>
    <row r="13" customFormat="false" ht="15" hidden="false" customHeight="false" outlineLevel="0" collapsed="false">
      <c r="A13" s="21" t="s">
        <v>215</v>
      </c>
      <c r="B13" s="21"/>
      <c r="C13" s="21"/>
      <c r="D13" s="21"/>
      <c r="E13" s="21"/>
      <c r="F13" s="21"/>
      <c r="G13" s="21"/>
      <c r="H13" s="21"/>
      <c r="I13" s="21"/>
      <c r="J13" s="21"/>
      <c r="K13" s="21" t="n">
        <f aca="true">IF(A13&lt;&gt;"",IF(J13&lt;&gt;"",J13-H13,TODAY()-H13),"")</f>
        <v>46164</v>
      </c>
      <c r="L13" s="21"/>
      <c r="M13" s="21"/>
    </row>
    <row r="14" customFormat="false" ht="15" hidden="false" customHeight="false" outlineLevel="0" collapsed="false">
      <c r="A14" s="20" t="s">
        <v>216</v>
      </c>
      <c r="B14" s="20"/>
      <c r="C14" s="20"/>
      <c r="D14" s="20"/>
      <c r="E14" s="20"/>
      <c r="F14" s="20"/>
      <c r="G14" s="20"/>
      <c r="H14" s="20"/>
      <c r="I14" s="20"/>
      <c r="J14" s="20"/>
      <c r="K14" s="20" t="n">
        <f aca="true">IF(A14&lt;&gt;"",IF(J14&lt;&gt;"",J14-H14,TODAY()-H14),"")</f>
        <v>46164</v>
      </c>
      <c r="L14" s="20"/>
      <c r="M14" s="20"/>
    </row>
    <row r="15" customFormat="false" ht="15" hidden="false" customHeight="false" outlineLevel="0" collapsed="false">
      <c r="A15" s="21" t="s">
        <v>217</v>
      </c>
      <c r="B15" s="21"/>
      <c r="C15" s="21"/>
      <c r="D15" s="21"/>
      <c r="E15" s="21"/>
      <c r="F15" s="21"/>
      <c r="G15" s="21"/>
      <c r="H15" s="21"/>
      <c r="I15" s="21"/>
      <c r="J15" s="21"/>
      <c r="K15" s="21" t="n">
        <f aca="true">IF(A15&lt;&gt;"",IF(J15&lt;&gt;"",J15-H15,TODAY()-H15),"")</f>
        <v>46164</v>
      </c>
      <c r="L15" s="21"/>
      <c r="M15" s="21"/>
    </row>
    <row r="16" customFormat="false" ht="15" hidden="false" customHeight="false" outlineLevel="0" collapsed="false">
      <c r="A16" s="20" t="s">
        <v>218</v>
      </c>
      <c r="B16" s="20"/>
      <c r="C16" s="20"/>
      <c r="D16" s="20"/>
      <c r="E16" s="20"/>
      <c r="F16" s="20"/>
      <c r="G16" s="20"/>
      <c r="H16" s="20"/>
      <c r="I16" s="20"/>
      <c r="J16" s="20"/>
      <c r="K16" s="20" t="n">
        <f aca="true">IF(A16&lt;&gt;"",IF(J16&lt;&gt;"",J16-H16,TODAY()-H16),"")</f>
        <v>46164</v>
      </c>
      <c r="L16" s="20"/>
      <c r="M16" s="20"/>
    </row>
    <row r="17" customFormat="false" ht="15" hidden="false" customHeight="false" outlineLevel="0" collapsed="false">
      <c r="A17" s="21" t="s">
        <v>219</v>
      </c>
      <c r="B17" s="21"/>
      <c r="C17" s="21"/>
      <c r="D17" s="21"/>
      <c r="E17" s="21"/>
      <c r="F17" s="21"/>
      <c r="G17" s="21"/>
      <c r="H17" s="21"/>
      <c r="I17" s="21"/>
      <c r="J17" s="21"/>
      <c r="K17" s="21" t="n">
        <f aca="true">IF(A17&lt;&gt;"",IF(J17&lt;&gt;"",J17-H17,TODAY()-H17),"")</f>
        <v>46164</v>
      </c>
      <c r="L17" s="21"/>
      <c r="M17" s="21"/>
    </row>
    <row r="18" customFormat="false" ht="15" hidden="false" customHeight="false" outlineLevel="0" collapsed="false">
      <c r="A18" s="20" t="s">
        <v>220</v>
      </c>
      <c r="B18" s="20"/>
      <c r="C18" s="20"/>
      <c r="D18" s="20"/>
      <c r="E18" s="20"/>
      <c r="F18" s="20"/>
      <c r="G18" s="20"/>
      <c r="H18" s="20"/>
      <c r="I18" s="20"/>
      <c r="J18" s="20"/>
      <c r="K18" s="20" t="n">
        <f aca="true">IF(A18&lt;&gt;"",IF(J18&lt;&gt;"",J18-H18,TODAY()-H18),"")</f>
        <v>46164</v>
      </c>
      <c r="L18" s="20"/>
      <c r="M18" s="20"/>
    </row>
    <row r="19" customFormat="false" ht="15" hidden="false" customHeight="false" outlineLevel="0" collapsed="false">
      <c r="A19" s="21" t="s">
        <v>221</v>
      </c>
      <c r="B19" s="21"/>
      <c r="C19" s="21"/>
      <c r="D19" s="21"/>
      <c r="E19" s="21"/>
      <c r="F19" s="21"/>
      <c r="G19" s="21"/>
      <c r="H19" s="21"/>
      <c r="I19" s="21"/>
      <c r="J19" s="21"/>
      <c r="K19" s="21" t="n">
        <f aca="true">IF(A19&lt;&gt;"",IF(J19&lt;&gt;"",J19-H19,TODAY()-H19),"")</f>
        <v>46164</v>
      </c>
      <c r="L19" s="21"/>
      <c r="M19" s="21"/>
    </row>
    <row r="20" customFormat="false" ht="15" hidden="false" customHeight="false" outlineLevel="0" collapsed="false">
      <c r="A20" s="20" t="s">
        <v>222</v>
      </c>
      <c r="B20" s="20"/>
      <c r="C20" s="20"/>
      <c r="D20" s="20"/>
      <c r="E20" s="20"/>
      <c r="F20" s="20"/>
      <c r="G20" s="20"/>
      <c r="H20" s="20"/>
      <c r="I20" s="20"/>
      <c r="J20" s="20"/>
      <c r="K20" s="20" t="n">
        <f aca="true">IF(A20&lt;&gt;"",IF(J20&lt;&gt;"",J20-H20,TODAY()-H20),"")</f>
        <v>46164</v>
      </c>
      <c r="L20" s="20"/>
      <c r="M20" s="20"/>
    </row>
    <row r="21" customFormat="false" ht="15" hidden="false" customHeight="false" outlineLevel="0" collapsed="false">
      <c r="A21" s="21" t="s">
        <v>223</v>
      </c>
      <c r="B21" s="21"/>
      <c r="C21" s="21"/>
      <c r="D21" s="21"/>
      <c r="E21" s="21"/>
      <c r="F21" s="21"/>
      <c r="G21" s="21"/>
      <c r="H21" s="21"/>
      <c r="I21" s="21"/>
      <c r="J21" s="21"/>
      <c r="K21" s="21" t="n">
        <f aca="true">IF(A21&lt;&gt;"",IF(J21&lt;&gt;"",J21-H21,TODAY()-H21),"")</f>
        <v>46164</v>
      </c>
      <c r="L21" s="21"/>
      <c r="M21" s="21"/>
    </row>
    <row r="22" customFormat="false" ht="15" hidden="false" customHeight="false" outlineLevel="0" collapsed="false">
      <c r="A22" s="20" t="s">
        <v>224</v>
      </c>
      <c r="B22" s="20"/>
      <c r="C22" s="20"/>
      <c r="D22" s="20"/>
      <c r="E22" s="20"/>
      <c r="F22" s="20"/>
      <c r="G22" s="20"/>
      <c r="H22" s="20"/>
      <c r="I22" s="20"/>
      <c r="J22" s="20"/>
      <c r="K22" s="20" t="n">
        <f aca="true">IF(A22&lt;&gt;"",IF(J22&lt;&gt;"",J22-H22,TODAY()-H22),"")</f>
        <v>46164</v>
      </c>
      <c r="L22" s="20"/>
      <c r="M22" s="20"/>
    </row>
    <row r="23" customFormat="false" ht="15" hidden="false" customHeight="false" outlineLevel="0" collapsed="false">
      <c r="A23" s="21" t="s">
        <v>225</v>
      </c>
      <c r="B23" s="21"/>
      <c r="C23" s="21"/>
      <c r="D23" s="21"/>
      <c r="E23" s="21"/>
      <c r="F23" s="21"/>
      <c r="G23" s="21"/>
      <c r="H23" s="21"/>
      <c r="I23" s="21"/>
      <c r="J23" s="21"/>
      <c r="K23" s="21" t="n">
        <f aca="true">IF(A23&lt;&gt;"",IF(J23&lt;&gt;"",J23-H23,TODAY()-H23),"")</f>
        <v>46164</v>
      </c>
      <c r="L23" s="21"/>
      <c r="M23" s="21"/>
    </row>
    <row r="24" customFormat="false" ht="15" hidden="false" customHeight="false" outlineLevel="0" collapsed="false">
      <c r="A24" s="20" t="s">
        <v>226</v>
      </c>
      <c r="B24" s="20"/>
      <c r="C24" s="20"/>
      <c r="D24" s="20"/>
      <c r="E24" s="20"/>
      <c r="F24" s="20"/>
      <c r="G24" s="20"/>
      <c r="H24" s="20"/>
      <c r="I24" s="20"/>
      <c r="J24" s="20"/>
      <c r="K24" s="20" t="n">
        <f aca="true">IF(A24&lt;&gt;"",IF(J24&lt;&gt;"",J24-H24,TODAY()-H24),"")</f>
        <v>46164</v>
      </c>
      <c r="L24" s="20"/>
      <c r="M24" s="20"/>
    </row>
    <row r="25" customFormat="false" ht="15" hidden="false" customHeight="false" outlineLevel="0" collapsed="false">
      <c r="A25" s="21" t="s">
        <v>227</v>
      </c>
      <c r="B25" s="21"/>
      <c r="C25" s="21"/>
      <c r="D25" s="21"/>
      <c r="E25" s="21"/>
      <c r="F25" s="21"/>
      <c r="G25" s="21"/>
      <c r="H25" s="21"/>
      <c r="I25" s="21"/>
      <c r="J25" s="21"/>
      <c r="K25" s="21" t="n">
        <f aca="true">IF(A25&lt;&gt;"",IF(J25&lt;&gt;"",J25-H25,TODAY()-H25),"")</f>
        <v>46164</v>
      </c>
      <c r="L25" s="21"/>
      <c r="M25" s="21"/>
    </row>
    <row r="26" customFormat="false" ht="15" hidden="false" customHeight="false" outlineLevel="0" collapsed="false">
      <c r="A26" s="20" t="s">
        <v>228</v>
      </c>
      <c r="B26" s="20"/>
      <c r="C26" s="20"/>
      <c r="D26" s="20"/>
      <c r="E26" s="20"/>
      <c r="F26" s="20"/>
      <c r="G26" s="20"/>
      <c r="H26" s="20"/>
      <c r="I26" s="20"/>
      <c r="J26" s="20"/>
      <c r="K26" s="20" t="n">
        <f aca="true">IF(A26&lt;&gt;"",IF(J26&lt;&gt;"",J26-H26,TODAY()-H26),"")</f>
        <v>46164</v>
      </c>
      <c r="L26" s="20"/>
      <c r="M26" s="20"/>
    </row>
    <row r="27" customFormat="false" ht="15" hidden="false" customHeight="false" outlineLevel="0" collapsed="false">
      <c r="A27" s="21" t="s">
        <v>229</v>
      </c>
      <c r="B27" s="21"/>
      <c r="C27" s="21"/>
      <c r="D27" s="21"/>
      <c r="E27" s="21"/>
      <c r="F27" s="21"/>
      <c r="G27" s="21"/>
      <c r="H27" s="21"/>
      <c r="I27" s="21"/>
      <c r="J27" s="21"/>
      <c r="K27" s="21" t="n">
        <f aca="true">IF(A27&lt;&gt;"",IF(J27&lt;&gt;"",J27-H27,TODAY()-H27),"")</f>
        <v>46164</v>
      </c>
      <c r="L27" s="21"/>
      <c r="M27" s="21"/>
    </row>
    <row r="28" customFormat="false" ht="15" hidden="false" customHeight="false" outlineLevel="0" collapsed="false">
      <c r="A28" s="20" t="s">
        <v>230</v>
      </c>
      <c r="B28" s="20"/>
      <c r="C28" s="20"/>
      <c r="D28" s="20"/>
      <c r="E28" s="20"/>
      <c r="F28" s="20"/>
      <c r="G28" s="20"/>
      <c r="H28" s="20"/>
      <c r="I28" s="20"/>
      <c r="J28" s="20"/>
      <c r="K28" s="20" t="n">
        <f aca="true">IF(A28&lt;&gt;"",IF(J28&lt;&gt;"",J28-H28,TODAY()-H28),"")</f>
        <v>46164</v>
      </c>
      <c r="L28" s="20"/>
      <c r="M28" s="20"/>
    </row>
    <row r="29" customFormat="false" ht="15" hidden="false" customHeight="false" outlineLevel="0" collapsed="false">
      <c r="A29" s="21" t="s">
        <v>231</v>
      </c>
      <c r="B29" s="21"/>
      <c r="C29" s="21"/>
      <c r="D29" s="21"/>
      <c r="E29" s="21"/>
      <c r="F29" s="21"/>
      <c r="G29" s="21"/>
      <c r="H29" s="21"/>
      <c r="I29" s="21"/>
      <c r="J29" s="21"/>
      <c r="K29" s="21" t="n">
        <f aca="true">IF(A29&lt;&gt;"",IF(J29&lt;&gt;"",J29-H29,TODAY()-H29),"")</f>
        <v>46164</v>
      </c>
      <c r="L29" s="21"/>
      <c r="M29" s="21"/>
    </row>
    <row r="30" customFormat="false" ht="15" hidden="false" customHeight="false" outlineLevel="0" collapsed="false">
      <c r="A30" s="20" t="s">
        <v>232</v>
      </c>
      <c r="B30" s="20"/>
      <c r="C30" s="20"/>
      <c r="D30" s="20"/>
      <c r="E30" s="20"/>
      <c r="F30" s="20"/>
      <c r="G30" s="20"/>
      <c r="H30" s="20"/>
      <c r="I30" s="20"/>
      <c r="J30" s="20"/>
      <c r="K30" s="20" t="n">
        <f aca="true">IF(A30&lt;&gt;"",IF(J30&lt;&gt;"",J30-H30,TODAY()-H30),"")</f>
        <v>46164</v>
      </c>
      <c r="L30" s="20"/>
      <c r="M30" s="20"/>
    </row>
    <row r="31" customFormat="false" ht="15" hidden="false" customHeight="false" outlineLevel="0" collapsed="false">
      <c r="A31" s="21" t="s">
        <v>233</v>
      </c>
      <c r="B31" s="21"/>
      <c r="C31" s="21"/>
      <c r="D31" s="21"/>
      <c r="E31" s="21"/>
      <c r="F31" s="21"/>
      <c r="G31" s="21"/>
      <c r="H31" s="21"/>
      <c r="I31" s="21"/>
      <c r="J31" s="21"/>
      <c r="K31" s="21" t="n">
        <f aca="true">IF(A31&lt;&gt;"",IF(J31&lt;&gt;"",J31-H31,TODAY()-H31),"")</f>
        <v>46164</v>
      </c>
      <c r="L31" s="21"/>
      <c r="M31" s="21"/>
    </row>
    <row r="32" customFormat="false" ht="15" hidden="false" customHeight="false" outlineLevel="0" collapsed="false">
      <c r="A32" s="20" t="s">
        <v>234</v>
      </c>
      <c r="B32" s="20"/>
      <c r="C32" s="20"/>
      <c r="D32" s="20"/>
      <c r="E32" s="20"/>
      <c r="F32" s="20"/>
      <c r="G32" s="20"/>
      <c r="H32" s="20"/>
      <c r="I32" s="20"/>
      <c r="J32" s="20"/>
      <c r="K32" s="20" t="n">
        <f aca="true">IF(A32&lt;&gt;"",IF(J32&lt;&gt;"",J32-H32,TODAY()-H32),"")</f>
        <v>46164</v>
      </c>
      <c r="L32" s="20"/>
      <c r="M32" s="20"/>
    </row>
    <row r="33" customFormat="false" ht="15" hidden="false" customHeight="false" outlineLevel="0" collapsed="false">
      <c r="A33" s="21" t="s">
        <v>235</v>
      </c>
      <c r="B33" s="21"/>
      <c r="C33" s="21"/>
      <c r="D33" s="21"/>
      <c r="E33" s="21"/>
      <c r="F33" s="21"/>
      <c r="G33" s="21"/>
      <c r="H33" s="21"/>
      <c r="I33" s="21"/>
      <c r="J33" s="21"/>
      <c r="K33" s="21" t="n">
        <f aca="true">IF(A33&lt;&gt;"",IF(J33&lt;&gt;"",J33-H33,TODAY()-H33),"")</f>
        <v>46164</v>
      </c>
      <c r="L33" s="21"/>
      <c r="M33" s="21"/>
    </row>
    <row r="34" customFormat="false" ht="15" hidden="false" customHeight="false" outlineLevel="0" collapsed="false">
      <c r="A34" s="20" t="s">
        <v>236</v>
      </c>
      <c r="B34" s="20"/>
      <c r="C34" s="20"/>
      <c r="D34" s="20"/>
      <c r="E34" s="20"/>
      <c r="F34" s="20"/>
      <c r="G34" s="20"/>
      <c r="H34" s="20"/>
      <c r="I34" s="20"/>
      <c r="J34" s="20"/>
      <c r="K34" s="20" t="n">
        <f aca="true">IF(A34&lt;&gt;"",IF(J34&lt;&gt;"",J34-H34,TODAY()-H34),"")</f>
        <v>46164</v>
      </c>
      <c r="L34" s="20"/>
      <c r="M34" s="20"/>
    </row>
    <row r="35" customFormat="false" ht="15" hidden="false" customHeight="false" outlineLevel="0" collapsed="false">
      <c r="A35" s="21" t="s">
        <v>237</v>
      </c>
      <c r="B35" s="21"/>
      <c r="C35" s="21"/>
      <c r="D35" s="21"/>
      <c r="E35" s="21"/>
      <c r="F35" s="21"/>
      <c r="G35" s="21"/>
      <c r="H35" s="21"/>
      <c r="I35" s="21"/>
      <c r="J35" s="21"/>
      <c r="K35" s="21" t="n">
        <f aca="true">IF(A35&lt;&gt;"",IF(J35&lt;&gt;"",J35-H35,TODAY()-H35),"")</f>
        <v>46164</v>
      </c>
      <c r="L35" s="21"/>
      <c r="M35" s="21"/>
    </row>
    <row r="36" customFormat="false" ht="15" hidden="false" customHeight="false" outlineLevel="0" collapsed="false">
      <c r="A36" s="20" t="s">
        <v>238</v>
      </c>
      <c r="B36" s="20"/>
      <c r="C36" s="20"/>
      <c r="D36" s="20"/>
      <c r="E36" s="20"/>
      <c r="F36" s="20"/>
      <c r="G36" s="20"/>
      <c r="H36" s="20"/>
      <c r="I36" s="20"/>
      <c r="J36" s="20"/>
      <c r="K36" s="20" t="n">
        <f aca="true">IF(A36&lt;&gt;"",IF(J36&lt;&gt;"",J36-H36,TODAY()-H36),"")</f>
        <v>46164</v>
      </c>
      <c r="L36" s="20"/>
      <c r="M36" s="20"/>
    </row>
    <row r="37" customFormat="false" ht="15" hidden="false" customHeight="false" outlineLevel="0" collapsed="false">
      <c r="A37" s="21" t="s">
        <v>239</v>
      </c>
      <c r="B37" s="21"/>
      <c r="C37" s="21"/>
      <c r="D37" s="21"/>
      <c r="E37" s="21"/>
      <c r="F37" s="21"/>
      <c r="G37" s="21"/>
      <c r="H37" s="21"/>
      <c r="I37" s="21"/>
      <c r="J37" s="21"/>
      <c r="K37" s="21" t="n">
        <f aca="true">IF(A37&lt;&gt;"",IF(J37&lt;&gt;"",J37-H37,TODAY()-H37),"")</f>
        <v>46164</v>
      </c>
      <c r="L37" s="21"/>
      <c r="M37" s="21"/>
    </row>
    <row r="38" customFormat="false" ht="15" hidden="false" customHeight="false" outlineLevel="0" collapsed="false">
      <c r="A38" s="20" t="s">
        <v>240</v>
      </c>
      <c r="B38" s="20"/>
      <c r="C38" s="20"/>
      <c r="D38" s="20"/>
      <c r="E38" s="20"/>
      <c r="F38" s="20"/>
      <c r="G38" s="20"/>
      <c r="H38" s="20"/>
      <c r="I38" s="20"/>
      <c r="J38" s="20"/>
      <c r="K38" s="20" t="n">
        <f aca="true">IF(A38&lt;&gt;"",IF(J38&lt;&gt;"",J38-H38,TODAY()-H38),"")</f>
        <v>46164</v>
      </c>
      <c r="L38" s="20"/>
      <c r="M38" s="20"/>
    </row>
    <row r="39" customFormat="false" ht="15" hidden="false" customHeight="false" outlineLevel="0" collapsed="false">
      <c r="A39" s="21" t="s">
        <v>241</v>
      </c>
      <c r="B39" s="21"/>
      <c r="C39" s="21"/>
      <c r="D39" s="21"/>
      <c r="E39" s="21"/>
      <c r="F39" s="21"/>
      <c r="G39" s="21"/>
      <c r="H39" s="21"/>
      <c r="I39" s="21"/>
      <c r="J39" s="21"/>
      <c r="K39" s="21" t="n">
        <f aca="true">IF(A39&lt;&gt;"",IF(J39&lt;&gt;"",J39-H39,TODAY()-H39),"")</f>
        <v>46164</v>
      </c>
      <c r="L39" s="21"/>
      <c r="M39" s="21"/>
    </row>
    <row r="40" customFormat="false" ht="15" hidden="false" customHeight="false" outlineLevel="0" collapsed="false">
      <c r="A40" s="20" t="s">
        <v>242</v>
      </c>
      <c r="B40" s="20"/>
      <c r="C40" s="20"/>
      <c r="D40" s="20"/>
      <c r="E40" s="20"/>
      <c r="F40" s="20"/>
      <c r="G40" s="20"/>
      <c r="H40" s="20"/>
      <c r="I40" s="20"/>
      <c r="J40" s="20"/>
      <c r="K40" s="20" t="n">
        <f aca="true">IF(A40&lt;&gt;"",IF(J40&lt;&gt;"",J40-H40,TODAY()-H40),"")</f>
        <v>46164</v>
      </c>
      <c r="L40" s="20"/>
      <c r="M40" s="20"/>
    </row>
    <row r="41" customFormat="false" ht="15" hidden="false" customHeight="false" outlineLevel="0" collapsed="false">
      <c r="A41" s="21" t="s">
        <v>243</v>
      </c>
      <c r="B41" s="21"/>
      <c r="C41" s="21"/>
      <c r="D41" s="21"/>
      <c r="E41" s="21"/>
      <c r="F41" s="21"/>
      <c r="G41" s="21"/>
      <c r="H41" s="21"/>
      <c r="I41" s="21"/>
      <c r="J41" s="21"/>
      <c r="K41" s="21" t="n">
        <f aca="true">IF(A41&lt;&gt;"",IF(J41&lt;&gt;"",J41-H41,TODAY()-H41),"")</f>
        <v>46164</v>
      </c>
      <c r="L41" s="21"/>
      <c r="M41" s="21"/>
    </row>
    <row r="42" customFormat="false" ht="15" hidden="false" customHeight="false" outlineLevel="0" collapsed="false">
      <c r="A42" s="20" t="s">
        <v>244</v>
      </c>
      <c r="B42" s="20"/>
      <c r="C42" s="20"/>
      <c r="D42" s="20"/>
      <c r="E42" s="20"/>
      <c r="F42" s="20"/>
      <c r="G42" s="20"/>
      <c r="H42" s="20"/>
      <c r="I42" s="20"/>
      <c r="J42" s="20"/>
      <c r="K42" s="20" t="n">
        <f aca="true">IF(A42&lt;&gt;"",IF(J42&lt;&gt;"",J42-H42,TODAY()-H42),"")</f>
        <v>46164</v>
      </c>
      <c r="L42" s="20"/>
      <c r="M42" s="20"/>
    </row>
    <row r="43" customFormat="false" ht="15" hidden="false" customHeight="false" outlineLevel="0" collapsed="false">
      <c r="A43" s="21" t="s">
        <v>245</v>
      </c>
      <c r="B43" s="21"/>
      <c r="C43" s="21"/>
      <c r="D43" s="21"/>
      <c r="E43" s="21"/>
      <c r="F43" s="21"/>
      <c r="G43" s="21"/>
      <c r="H43" s="21"/>
      <c r="I43" s="21"/>
      <c r="J43" s="21"/>
      <c r="K43" s="21" t="n">
        <f aca="true">IF(A43&lt;&gt;"",IF(J43&lt;&gt;"",J43-H43,TODAY()-H43),"")</f>
        <v>46164</v>
      </c>
      <c r="L43" s="21"/>
      <c r="M43" s="21"/>
    </row>
    <row r="44" customFormat="false" ht="15" hidden="false" customHeight="false" outlineLevel="0" collapsed="false">
      <c r="A44" s="20" t="s">
        <v>246</v>
      </c>
      <c r="B44" s="20"/>
      <c r="C44" s="20"/>
      <c r="D44" s="20"/>
      <c r="E44" s="20"/>
      <c r="F44" s="20"/>
      <c r="G44" s="20"/>
      <c r="H44" s="20"/>
      <c r="I44" s="20"/>
      <c r="J44" s="20"/>
      <c r="K44" s="20" t="n">
        <f aca="true">IF(A44&lt;&gt;"",IF(J44&lt;&gt;"",J44-H44,TODAY()-H44),"")</f>
        <v>46164</v>
      </c>
      <c r="L44" s="20"/>
      <c r="M44" s="20"/>
    </row>
    <row r="45" customFormat="false" ht="15" hidden="false" customHeight="false" outlineLevel="0" collapsed="false">
      <c r="A45" s="21" t="s">
        <v>247</v>
      </c>
      <c r="B45" s="21"/>
      <c r="C45" s="21"/>
      <c r="D45" s="21"/>
      <c r="E45" s="21"/>
      <c r="F45" s="21"/>
      <c r="G45" s="21"/>
      <c r="H45" s="21"/>
      <c r="I45" s="21"/>
      <c r="J45" s="21"/>
      <c r="K45" s="21" t="n">
        <f aca="true">IF(A45&lt;&gt;"",IF(J45&lt;&gt;"",J45-H45,TODAY()-H45),"")</f>
        <v>46164</v>
      </c>
      <c r="L45" s="21"/>
      <c r="M45" s="21"/>
    </row>
    <row r="46" customFormat="false" ht="15" hidden="false" customHeight="false" outlineLevel="0" collapsed="false">
      <c r="A46" s="20" t="s">
        <v>248</v>
      </c>
      <c r="B46" s="20"/>
      <c r="C46" s="20"/>
      <c r="D46" s="20"/>
      <c r="E46" s="20"/>
      <c r="F46" s="20"/>
      <c r="G46" s="20"/>
      <c r="H46" s="20"/>
      <c r="I46" s="20"/>
      <c r="J46" s="20"/>
      <c r="K46" s="20" t="n">
        <f aca="true">IF(A46&lt;&gt;"",IF(J46&lt;&gt;"",J46-H46,TODAY()-H46),"")</f>
        <v>46164</v>
      </c>
      <c r="L46" s="20"/>
      <c r="M46" s="20"/>
    </row>
    <row r="47" customFormat="false" ht="15" hidden="false" customHeight="false" outlineLevel="0" collapsed="false">
      <c r="A47" s="21" t="s">
        <v>249</v>
      </c>
      <c r="B47" s="21"/>
      <c r="C47" s="21"/>
      <c r="D47" s="21"/>
      <c r="E47" s="21"/>
      <c r="F47" s="21"/>
      <c r="G47" s="21"/>
      <c r="H47" s="21"/>
      <c r="I47" s="21"/>
      <c r="J47" s="21"/>
      <c r="K47" s="21" t="n">
        <f aca="true">IF(A47&lt;&gt;"",IF(J47&lt;&gt;"",J47-H47,TODAY()-H47),"")</f>
        <v>46164</v>
      </c>
      <c r="L47" s="21"/>
      <c r="M47" s="21"/>
    </row>
    <row r="48" customFormat="false" ht="15" hidden="false" customHeight="false" outlineLevel="0" collapsed="false">
      <c r="A48" s="20" t="s">
        <v>250</v>
      </c>
      <c r="B48" s="20"/>
      <c r="C48" s="20"/>
      <c r="D48" s="20"/>
      <c r="E48" s="20"/>
      <c r="F48" s="20"/>
      <c r="G48" s="20"/>
      <c r="H48" s="20"/>
      <c r="I48" s="20"/>
      <c r="J48" s="20"/>
      <c r="K48" s="20" t="n">
        <f aca="true">IF(A48&lt;&gt;"",IF(J48&lt;&gt;"",J48-H48,TODAY()-H48),"")</f>
        <v>46164</v>
      </c>
      <c r="L48" s="20"/>
      <c r="M48" s="20"/>
    </row>
    <row r="49" customFormat="false" ht="15" hidden="false" customHeight="false" outlineLevel="0" collapsed="false">
      <c r="A49" s="21" t="s">
        <v>251</v>
      </c>
      <c r="B49" s="21"/>
      <c r="C49" s="21"/>
      <c r="D49" s="21"/>
      <c r="E49" s="21"/>
      <c r="F49" s="21"/>
      <c r="G49" s="21"/>
      <c r="H49" s="21"/>
      <c r="I49" s="21"/>
      <c r="J49" s="21"/>
      <c r="K49" s="21" t="n">
        <f aca="true">IF(A49&lt;&gt;"",IF(J49&lt;&gt;"",J49-H49,TODAY()-H49),"")</f>
        <v>46164</v>
      </c>
      <c r="L49" s="21"/>
      <c r="M49" s="21"/>
    </row>
    <row r="50" customFormat="false" ht="15" hidden="false" customHeight="false" outlineLevel="0" collapsed="false">
      <c r="A50" s="20" t="s">
        <v>252</v>
      </c>
      <c r="B50" s="20"/>
      <c r="C50" s="20"/>
      <c r="D50" s="20"/>
      <c r="E50" s="20"/>
      <c r="F50" s="20"/>
      <c r="G50" s="20"/>
      <c r="H50" s="20"/>
      <c r="I50" s="20"/>
      <c r="J50" s="20"/>
      <c r="K50" s="20" t="n">
        <f aca="true">IF(A50&lt;&gt;"",IF(J50&lt;&gt;"",J50-H50,TODAY()-H50),"")</f>
        <v>46164</v>
      </c>
      <c r="L50" s="20"/>
      <c r="M50" s="20"/>
    </row>
    <row r="51" customFormat="false" ht="15" hidden="false" customHeight="false" outlineLevel="0" collapsed="false">
      <c r="A51" s="21" t="s">
        <v>253</v>
      </c>
      <c r="B51" s="21"/>
      <c r="C51" s="21"/>
      <c r="D51" s="21"/>
      <c r="E51" s="21"/>
      <c r="F51" s="21"/>
      <c r="G51" s="21"/>
      <c r="H51" s="21"/>
      <c r="I51" s="21"/>
      <c r="J51" s="21"/>
      <c r="K51" s="21" t="n">
        <f aca="true">IF(A51&lt;&gt;"",IF(J51&lt;&gt;"",J51-H51,TODAY()-H51),"")</f>
        <v>46164</v>
      </c>
      <c r="L51" s="21"/>
      <c r="M51" s="21"/>
    </row>
    <row r="52" customFormat="false" ht="15" hidden="false" customHeight="false" outlineLevel="0" collapsed="false">
      <c r="A52" s="20" t="s">
        <v>254</v>
      </c>
      <c r="B52" s="20"/>
      <c r="C52" s="20"/>
      <c r="D52" s="20"/>
      <c r="E52" s="20"/>
      <c r="F52" s="20"/>
      <c r="G52" s="20"/>
      <c r="H52" s="20"/>
      <c r="I52" s="20"/>
      <c r="J52" s="20"/>
      <c r="K52" s="20" t="n">
        <f aca="true">IF(A52&lt;&gt;"",IF(J52&lt;&gt;"",J52-H52,TODAY()-H52),"")</f>
        <v>46164</v>
      </c>
      <c r="L52" s="20"/>
      <c r="M52" s="20"/>
    </row>
    <row r="53" customFormat="false" ht="15" hidden="false" customHeight="false" outlineLevel="0" collapsed="false">
      <c r="A53" s="21" t="s">
        <v>255</v>
      </c>
      <c r="B53" s="21"/>
      <c r="C53" s="21"/>
      <c r="D53" s="21"/>
      <c r="E53" s="21"/>
      <c r="F53" s="21"/>
      <c r="G53" s="21"/>
      <c r="H53" s="21"/>
      <c r="I53" s="21"/>
      <c r="J53" s="21"/>
      <c r="K53" s="21" t="n">
        <f aca="true">IF(A53&lt;&gt;"",IF(J53&lt;&gt;"",J53-H53,TODAY()-H53),"")</f>
        <v>46164</v>
      </c>
      <c r="L53" s="21"/>
      <c r="M53" s="21"/>
    </row>
    <row r="54" customFormat="false" ht="15" hidden="false" customHeight="false" outlineLevel="0" collapsed="false">
      <c r="A54" s="20" t="s">
        <v>256</v>
      </c>
      <c r="B54" s="20"/>
      <c r="C54" s="20"/>
      <c r="D54" s="20"/>
      <c r="E54" s="20"/>
      <c r="F54" s="20"/>
      <c r="G54" s="20"/>
      <c r="H54" s="20"/>
      <c r="I54" s="20"/>
      <c r="J54" s="20"/>
      <c r="K54" s="20" t="n">
        <f aca="true">IF(A54&lt;&gt;"",IF(J54&lt;&gt;"",J54-H54,TODAY()-H54),"")</f>
        <v>46164</v>
      </c>
      <c r="L54" s="20"/>
      <c r="M54" s="20"/>
    </row>
    <row r="55" customFormat="false" ht="15" hidden="false" customHeight="false" outlineLevel="0" collapsed="false">
      <c r="A55" s="21" t="s">
        <v>257</v>
      </c>
      <c r="B55" s="21"/>
      <c r="C55" s="21"/>
      <c r="D55" s="21"/>
      <c r="E55" s="21"/>
      <c r="F55" s="21"/>
      <c r="G55" s="21"/>
      <c r="H55" s="21"/>
      <c r="I55" s="21"/>
      <c r="J55" s="21"/>
      <c r="K55" s="21" t="n">
        <f aca="true">IF(A55&lt;&gt;"",IF(J55&lt;&gt;"",J55-H55,TODAY()-H55),"")</f>
        <v>46164</v>
      </c>
      <c r="L55" s="21"/>
      <c r="M55" s="21"/>
    </row>
    <row r="56" customFormat="false" ht="15" hidden="false" customHeight="false" outlineLevel="0" collapsed="false">
      <c r="A56" s="20" t="s">
        <v>258</v>
      </c>
      <c r="B56" s="20"/>
      <c r="C56" s="20"/>
      <c r="D56" s="20"/>
      <c r="E56" s="20"/>
      <c r="F56" s="20"/>
      <c r="G56" s="20"/>
      <c r="H56" s="20"/>
      <c r="I56" s="20"/>
      <c r="J56" s="20"/>
      <c r="K56" s="20" t="n">
        <f aca="true">IF(A56&lt;&gt;"",IF(J56&lt;&gt;"",J56-H56,TODAY()-H56),"")</f>
        <v>46164</v>
      </c>
      <c r="L56" s="20"/>
      <c r="M56" s="20"/>
    </row>
    <row r="57" customFormat="false" ht="15" hidden="false" customHeight="false" outlineLevel="0" collapsed="false">
      <c r="A57" s="21" t="s">
        <v>259</v>
      </c>
      <c r="B57" s="21"/>
      <c r="C57" s="21"/>
      <c r="D57" s="21"/>
      <c r="E57" s="21"/>
      <c r="F57" s="21"/>
      <c r="G57" s="21"/>
      <c r="H57" s="21"/>
      <c r="I57" s="21"/>
      <c r="J57" s="21"/>
      <c r="K57" s="21" t="n">
        <f aca="true">IF(A57&lt;&gt;"",IF(J57&lt;&gt;"",J57-H57,TODAY()-H57),"")</f>
        <v>46164</v>
      </c>
      <c r="L57" s="21"/>
      <c r="M57" s="21"/>
    </row>
    <row r="58" customFormat="false" ht="15" hidden="false" customHeight="false" outlineLevel="0" collapsed="false">
      <c r="A58" s="20" t="s">
        <v>260</v>
      </c>
      <c r="B58" s="20"/>
      <c r="C58" s="20"/>
      <c r="D58" s="20"/>
      <c r="E58" s="20"/>
      <c r="F58" s="20"/>
      <c r="G58" s="20"/>
      <c r="H58" s="20"/>
      <c r="I58" s="20"/>
      <c r="J58" s="20"/>
      <c r="K58" s="20" t="n">
        <f aca="true">IF(A58&lt;&gt;"",IF(J58&lt;&gt;"",J58-H58,TODAY()-H58),"")</f>
        <v>46164</v>
      </c>
      <c r="L58" s="20"/>
      <c r="M58" s="20"/>
    </row>
    <row r="59" customFormat="false" ht="15" hidden="false" customHeight="false" outlineLevel="0" collapsed="false">
      <c r="A59" s="21" t="s">
        <v>261</v>
      </c>
      <c r="B59" s="21"/>
      <c r="C59" s="21"/>
      <c r="D59" s="21"/>
      <c r="E59" s="21"/>
      <c r="F59" s="21"/>
      <c r="G59" s="21"/>
      <c r="H59" s="21"/>
      <c r="I59" s="21"/>
      <c r="J59" s="21"/>
      <c r="K59" s="21" t="n">
        <f aca="true">IF(A59&lt;&gt;"",IF(J59&lt;&gt;"",J59-H59,TODAY()-H59),"")</f>
        <v>46164</v>
      </c>
      <c r="L59" s="21"/>
      <c r="M59" s="21"/>
    </row>
    <row r="60" customFormat="false" ht="15" hidden="false" customHeight="false" outlineLevel="0" collapsed="false">
      <c r="A60" s="20" t="s">
        <v>262</v>
      </c>
      <c r="B60" s="20"/>
      <c r="C60" s="20"/>
      <c r="D60" s="20"/>
      <c r="E60" s="20"/>
      <c r="F60" s="20"/>
      <c r="G60" s="20"/>
      <c r="H60" s="20"/>
      <c r="I60" s="20"/>
      <c r="J60" s="20"/>
      <c r="K60" s="20" t="n">
        <f aca="true">IF(A60&lt;&gt;"",IF(J60&lt;&gt;"",J60-H60,TODAY()-H60),"")</f>
        <v>46164</v>
      </c>
      <c r="L60" s="20"/>
      <c r="M60" s="20"/>
    </row>
    <row r="61" customFormat="false" ht="15" hidden="false" customHeight="false" outlineLevel="0" collapsed="false">
      <c r="A61" s="21" t="s">
        <v>263</v>
      </c>
      <c r="B61" s="21"/>
      <c r="C61" s="21"/>
      <c r="D61" s="21"/>
      <c r="E61" s="21"/>
      <c r="F61" s="21"/>
      <c r="G61" s="21"/>
      <c r="H61" s="21"/>
      <c r="I61" s="21"/>
      <c r="J61" s="21"/>
      <c r="K61" s="21" t="n">
        <f aca="true">IF(A61&lt;&gt;"",IF(J61&lt;&gt;"",J61-H61,TODAY()-H61),"")</f>
        <v>46164</v>
      </c>
      <c r="L61" s="21"/>
      <c r="M61" s="21"/>
    </row>
    <row r="62" customFormat="false" ht="15" hidden="false" customHeight="false" outlineLevel="0" collapsed="false">
      <c r="A62" s="20" t="s">
        <v>264</v>
      </c>
      <c r="B62" s="20"/>
      <c r="C62" s="20"/>
      <c r="D62" s="20"/>
      <c r="E62" s="20"/>
      <c r="F62" s="20"/>
      <c r="G62" s="20"/>
      <c r="H62" s="20"/>
      <c r="I62" s="20"/>
      <c r="J62" s="20"/>
      <c r="K62" s="20" t="n">
        <f aca="true">IF(A62&lt;&gt;"",IF(J62&lt;&gt;"",J62-H62,TODAY()-H62),"")</f>
        <v>46164</v>
      </c>
      <c r="L62" s="20"/>
      <c r="M62" s="20"/>
    </row>
    <row r="63" customFormat="false" ht="15" hidden="false" customHeight="false" outlineLevel="0" collapsed="false">
      <c r="A63" s="21" t="s">
        <v>265</v>
      </c>
      <c r="B63" s="21"/>
      <c r="C63" s="21"/>
      <c r="D63" s="21"/>
      <c r="E63" s="21"/>
      <c r="F63" s="21"/>
      <c r="G63" s="21"/>
      <c r="H63" s="21"/>
      <c r="I63" s="21"/>
      <c r="J63" s="21"/>
      <c r="K63" s="21" t="n">
        <f aca="true">IF(A63&lt;&gt;"",IF(J63&lt;&gt;"",J63-H63,TODAY()-H63),"")</f>
        <v>46164</v>
      </c>
      <c r="L63" s="21"/>
      <c r="M63" s="21"/>
    </row>
    <row r="64" customFormat="false" ht="15" hidden="false" customHeight="false" outlineLevel="0" collapsed="false">
      <c r="A64" s="20" t="s">
        <v>266</v>
      </c>
      <c r="B64" s="20"/>
      <c r="C64" s="20"/>
      <c r="D64" s="20"/>
      <c r="E64" s="20"/>
      <c r="F64" s="20"/>
      <c r="G64" s="20"/>
      <c r="H64" s="20"/>
      <c r="I64" s="20"/>
      <c r="J64" s="20"/>
      <c r="K64" s="20" t="n">
        <f aca="true">IF(A64&lt;&gt;"",IF(J64&lt;&gt;"",J64-H64,TODAY()-H64),"")</f>
        <v>46164</v>
      </c>
      <c r="L64" s="20"/>
      <c r="M64" s="20"/>
    </row>
    <row r="65" customFormat="false" ht="15" hidden="false" customHeight="false" outlineLevel="0" collapsed="false">
      <c r="A65" s="21" t="s">
        <v>267</v>
      </c>
      <c r="B65" s="21"/>
      <c r="C65" s="21"/>
      <c r="D65" s="21"/>
      <c r="E65" s="21"/>
      <c r="F65" s="21"/>
      <c r="G65" s="21"/>
      <c r="H65" s="21"/>
      <c r="I65" s="21"/>
      <c r="J65" s="21"/>
      <c r="K65" s="21" t="n">
        <f aca="true">IF(A65&lt;&gt;"",IF(J65&lt;&gt;"",J65-H65,TODAY()-H65),"")</f>
        <v>46164</v>
      </c>
      <c r="L65" s="21"/>
      <c r="M65" s="21"/>
    </row>
    <row r="66" customFormat="false" ht="15" hidden="false" customHeight="false" outlineLevel="0" collapsed="false">
      <c r="A66" s="20" t="s">
        <v>268</v>
      </c>
      <c r="B66" s="20"/>
      <c r="C66" s="20"/>
      <c r="D66" s="20"/>
      <c r="E66" s="20"/>
      <c r="F66" s="20"/>
      <c r="G66" s="20"/>
      <c r="H66" s="20"/>
      <c r="I66" s="20"/>
      <c r="J66" s="20"/>
      <c r="K66" s="20" t="n">
        <f aca="true">IF(A66&lt;&gt;"",IF(J66&lt;&gt;"",J66-H66,TODAY()-H66),"")</f>
        <v>46164</v>
      </c>
      <c r="L66" s="20"/>
      <c r="M66" s="20"/>
    </row>
    <row r="67" customFormat="false" ht="15" hidden="false" customHeight="false" outlineLevel="0" collapsed="false">
      <c r="A67" s="21" t="s">
        <v>269</v>
      </c>
      <c r="B67" s="21"/>
      <c r="C67" s="21"/>
      <c r="D67" s="21"/>
      <c r="E67" s="21"/>
      <c r="F67" s="21"/>
      <c r="G67" s="21"/>
      <c r="H67" s="21"/>
      <c r="I67" s="21"/>
      <c r="J67" s="21"/>
      <c r="K67" s="21" t="n">
        <f aca="true">IF(A67&lt;&gt;"",IF(J67&lt;&gt;"",J67-H67,TODAY()-H67),"")</f>
        <v>46164</v>
      </c>
      <c r="L67" s="21"/>
      <c r="M67" s="21"/>
    </row>
    <row r="68" customFormat="false" ht="15" hidden="false" customHeight="false" outlineLevel="0" collapsed="false">
      <c r="A68" s="20" t="s">
        <v>270</v>
      </c>
      <c r="B68" s="20"/>
      <c r="C68" s="20"/>
      <c r="D68" s="20"/>
      <c r="E68" s="20"/>
      <c r="F68" s="20"/>
      <c r="G68" s="20"/>
      <c r="H68" s="20"/>
      <c r="I68" s="20"/>
      <c r="J68" s="20"/>
      <c r="K68" s="20" t="n">
        <f aca="true">IF(A68&lt;&gt;"",IF(J68&lt;&gt;"",J68-H68,TODAY()-H68),"")</f>
        <v>46164</v>
      </c>
      <c r="L68" s="20"/>
      <c r="M68" s="20"/>
    </row>
    <row r="69" customFormat="false" ht="15" hidden="false" customHeight="false" outlineLevel="0" collapsed="false">
      <c r="A69" s="21" t="s">
        <v>271</v>
      </c>
      <c r="B69" s="21"/>
      <c r="C69" s="21"/>
      <c r="D69" s="21"/>
      <c r="E69" s="21"/>
      <c r="F69" s="21"/>
      <c r="G69" s="21"/>
      <c r="H69" s="21"/>
      <c r="I69" s="21"/>
      <c r="J69" s="21"/>
      <c r="K69" s="21" t="n">
        <f aca="true">IF(A69&lt;&gt;"",IF(J69&lt;&gt;"",J69-H69,TODAY()-H69),"")</f>
        <v>46164</v>
      </c>
      <c r="L69" s="21"/>
      <c r="M69" s="21"/>
    </row>
    <row r="70" customFormat="false" ht="15" hidden="false" customHeight="false" outlineLevel="0" collapsed="false">
      <c r="A70" s="20" t="s">
        <v>272</v>
      </c>
      <c r="B70" s="20"/>
      <c r="C70" s="20"/>
      <c r="D70" s="20"/>
      <c r="E70" s="20"/>
      <c r="F70" s="20"/>
      <c r="G70" s="20"/>
      <c r="H70" s="20"/>
      <c r="I70" s="20"/>
      <c r="J70" s="20"/>
      <c r="K70" s="20" t="n">
        <f aca="true">IF(A70&lt;&gt;"",IF(J70&lt;&gt;"",J70-H70,TODAY()-H70),"")</f>
        <v>46164</v>
      </c>
      <c r="L70" s="20"/>
      <c r="M70" s="20"/>
    </row>
    <row r="71" customFormat="false" ht="15" hidden="false" customHeight="false" outlineLevel="0" collapsed="false">
      <c r="A71" s="21" t="s">
        <v>273</v>
      </c>
      <c r="B71" s="21"/>
      <c r="C71" s="21"/>
      <c r="D71" s="21"/>
      <c r="E71" s="21"/>
      <c r="F71" s="21"/>
      <c r="G71" s="21"/>
      <c r="H71" s="21"/>
      <c r="I71" s="21"/>
      <c r="J71" s="21"/>
      <c r="K71" s="21" t="n">
        <f aca="true">IF(A71&lt;&gt;"",IF(J71&lt;&gt;"",J71-H71,TODAY()-H71),"")</f>
        <v>46164</v>
      </c>
      <c r="L71" s="21"/>
      <c r="M71" s="21"/>
    </row>
    <row r="72" customFormat="false" ht="15" hidden="false" customHeight="false" outlineLevel="0" collapsed="false">
      <c r="A72" s="20" t="s">
        <v>274</v>
      </c>
      <c r="B72" s="20"/>
      <c r="C72" s="20"/>
      <c r="D72" s="20"/>
      <c r="E72" s="20"/>
      <c r="F72" s="20"/>
      <c r="G72" s="20"/>
      <c r="H72" s="20"/>
      <c r="I72" s="20"/>
      <c r="J72" s="20"/>
      <c r="K72" s="20" t="n">
        <f aca="true">IF(A72&lt;&gt;"",IF(J72&lt;&gt;"",J72-H72,TODAY()-H72),"")</f>
        <v>46164</v>
      </c>
      <c r="L72" s="20"/>
      <c r="M72" s="20"/>
    </row>
    <row r="73" customFormat="false" ht="15" hidden="false" customHeight="false" outlineLevel="0" collapsed="false">
      <c r="A73" s="21" t="s">
        <v>275</v>
      </c>
      <c r="B73" s="21"/>
      <c r="C73" s="21"/>
      <c r="D73" s="21"/>
      <c r="E73" s="21"/>
      <c r="F73" s="21"/>
      <c r="G73" s="21"/>
      <c r="H73" s="21"/>
      <c r="I73" s="21"/>
      <c r="J73" s="21"/>
      <c r="K73" s="21" t="n">
        <f aca="true">IF(A73&lt;&gt;"",IF(J73&lt;&gt;"",J73-H73,TODAY()-H73),"")</f>
        <v>46164</v>
      </c>
      <c r="L73" s="21"/>
      <c r="M73" s="21"/>
    </row>
    <row r="74" customFormat="false" ht="15" hidden="false" customHeight="false" outlineLevel="0" collapsed="false">
      <c r="A74" s="20" t="s">
        <v>276</v>
      </c>
      <c r="B74" s="20"/>
      <c r="C74" s="20"/>
      <c r="D74" s="20"/>
      <c r="E74" s="20"/>
      <c r="F74" s="20"/>
      <c r="G74" s="20"/>
      <c r="H74" s="20"/>
      <c r="I74" s="20"/>
      <c r="J74" s="20"/>
      <c r="K74" s="20" t="n">
        <f aca="true">IF(A74&lt;&gt;"",IF(J74&lt;&gt;"",J74-H74,TODAY()-H74),"")</f>
        <v>46164</v>
      </c>
      <c r="L74" s="20"/>
      <c r="M74" s="20"/>
    </row>
    <row r="75" customFormat="false" ht="15" hidden="false" customHeight="false" outlineLevel="0" collapsed="false">
      <c r="A75" s="21" t="s">
        <v>277</v>
      </c>
      <c r="B75" s="21"/>
      <c r="C75" s="21"/>
      <c r="D75" s="21"/>
      <c r="E75" s="21"/>
      <c r="F75" s="21"/>
      <c r="G75" s="21"/>
      <c r="H75" s="21"/>
      <c r="I75" s="21"/>
      <c r="J75" s="21"/>
      <c r="K75" s="21" t="n">
        <f aca="true">IF(A75&lt;&gt;"",IF(J75&lt;&gt;"",J75-H75,TODAY()-H75),"")</f>
        <v>46164</v>
      </c>
      <c r="L75" s="21"/>
      <c r="M75" s="21"/>
    </row>
    <row r="76" customFormat="false" ht="15" hidden="false" customHeight="false" outlineLevel="0" collapsed="false">
      <c r="A76" s="20" t="s">
        <v>278</v>
      </c>
      <c r="B76" s="20"/>
      <c r="C76" s="20"/>
      <c r="D76" s="20"/>
      <c r="E76" s="20"/>
      <c r="F76" s="20"/>
      <c r="G76" s="20"/>
      <c r="H76" s="20"/>
      <c r="I76" s="20"/>
      <c r="J76" s="20"/>
      <c r="K76" s="20" t="n">
        <f aca="true">IF(A76&lt;&gt;"",IF(J76&lt;&gt;"",J76-H76,TODAY()-H76),"")</f>
        <v>46164</v>
      </c>
      <c r="L76" s="20"/>
      <c r="M76" s="20"/>
    </row>
    <row r="77" customFormat="false" ht="15" hidden="false" customHeight="false" outlineLevel="0" collapsed="false">
      <c r="A77" s="21" t="s">
        <v>279</v>
      </c>
      <c r="B77" s="21"/>
      <c r="C77" s="21"/>
      <c r="D77" s="21"/>
      <c r="E77" s="21"/>
      <c r="F77" s="21"/>
      <c r="G77" s="21"/>
      <c r="H77" s="21"/>
      <c r="I77" s="21"/>
      <c r="J77" s="21"/>
      <c r="K77" s="21" t="n">
        <f aca="true">IF(A77&lt;&gt;"",IF(J77&lt;&gt;"",J77-H77,TODAY()-H77),"")</f>
        <v>46164</v>
      </c>
      <c r="L77" s="21"/>
      <c r="M77" s="21"/>
    </row>
    <row r="78" customFormat="false" ht="15" hidden="false" customHeight="false" outlineLevel="0" collapsed="false">
      <c r="A78" s="20" t="s">
        <v>280</v>
      </c>
      <c r="B78" s="20"/>
      <c r="C78" s="20"/>
      <c r="D78" s="20"/>
      <c r="E78" s="20"/>
      <c r="F78" s="20"/>
      <c r="G78" s="20"/>
      <c r="H78" s="20"/>
      <c r="I78" s="20"/>
      <c r="J78" s="20"/>
      <c r="K78" s="20" t="n">
        <f aca="true">IF(A78&lt;&gt;"",IF(J78&lt;&gt;"",J78-H78,TODAY()-H78),"")</f>
        <v>46164</v>
      </c>
      <c r="L78" s="20"/>
      <c r="M78" s="20"/>
    </row>
    <row r="79" customFormat="false" ht="15" hidden="false" customHeight="false" outlineLevel="0" collapsed="false">
      <c r="A79" s="21" t="s">
        <v>281</v>
      </c>
      <c r="B79" s="21"/>
      <c r="C79" s="21"/>
      <c r="D79" s="21"/>
      <c r="E79" s="21"/>
      <c r="F79" s="21"/>
      <c r="G79" s="21"/>
      <c r="H79" s="21"/>
      <c r="I79" s="21"/>
      <c r="J79" s="21"/>
      <c r="K79" s="21" t="n">
        <f aca="true">IF(A79&lt;&gt;"",IF(J79&lt;&gt;"",J79-H79,TODAY()-H79),"")</f>
        <v>46164</v>
      </c>
      <c r="L79" s="21"/>
      <c r="M79" s="21"/>
    </row>
    <row r="80" customFormat="false" ht="15" hidden="false" customHeight="false" outlineLevel="0" collapsed="false">
      <c r="A80" s="20" t="s">
        <v>282</v>
      </c>
      <c r="B80" s="20"/>
      <c r="C80" s="20"/>
      <c r="D80" s="20"/>
      <c r="E80" s="20"/>
      <c r="F80" s="20"/>
      <c r="G80" s="20"/>
      <c r="H80" s="20"/>
      <c r="I80" s="20"/>
      <c r="J80" s="20"/>
      <c r="K80" s="20" t="n">
        <f aca="true">IF(A80&lt;&gt;"",IF(J80&lt;&gt;"",J80-H80,TODAY()-H80),"")</f>
        <v>46164</v>
      </c>
      <c r="L80" s="20"/>
      <c r="M80" s="20"/>
    </row>
    <row r="81" customFormat="false" ht="15" hidden="false" customHeight="false" outlineLevel="0" collapsed="false">
      <c r="A81" s="21" t="s">
        <v>283</v>
      </c>
      <c r="B81" s="21"/>
      <c r="C81" s="21"/>
      <c r="D81" s="21"/>
      <c r="E81" s="21"/>
      <c r="F81" s="21"/>
      <c r="G81" s="21"/>
      <c r="H81" s="21"/>
      <c r="I81" s="21"/>
      <c r="J81" s="21"/>
      <c r="K81" s="21" t="n">
        <f aca="true">IF(A81&lt;&gt;"",IF(J81&lt;&gt;"",J81-H81,TODAY()-H81),"")</f>
        <v>46164</v>
      </c>
      <c r="L81" s="21"/>
      <c r="M81" s="21"/>
    </row>
    <row r="82" customFormat="false" ht="15" hidden="false" customHeight="false" outlineLevel="0" collapsed="false">
      <c r="A82" s="20" t="s">
        <v>284</v>
      </c>
      <c r="B82" s="20"/>
      <c r="C82" s="20"/>
      <c r="D82" s="20"/>
      <c r="E82" s="20"/>
      <c r="F82" s="20"/>
      <c r="G82" s="20"/>
      <c r="H82" s="20"/>
      <c r="I82" s="20"/>
      <c r="J82" s="20"/>
      <c r="K82" s="20" t="n">
        <f aca="true">IF(A82&lt;&gt;"",IF(J82&lt;&gt;"",J82-H82,TODAY()-H82),"")</f>
        <v>46164</v>
      </c>
      <c r="L82" s="20"/>
      <c r="M82" s="20"/>
    </row>
    <row r="83" customFormat="false" ht="15" hidden="false" customHeight="false" outlineLevel="0" collapsed="false">
      <c r="A83" s="21" t="s">
        <v>285</v>
      </c>
      <c r="B83" s="21"/>
      <c r="C83" s="21"/>
      <c r="D83" s="21"/>
      <c r="E83" s="21"/>
      <c r="F83" s="21"/>
      <c r="G83" s="21"/>
      <c r="H83" s="21"/>
      <c r="I83" s="21"/>
      <c r="J83" s="21"/>
      <c r="K83" s="21" t="n">
        <f aca="true">IF(A83&lt;&gt;"",IF(J83&lt;&gt;"",J83-H83,TODAY()-H83),"")</f>
        <v>46164</v>
      </c>
      <c r="L83" s="21"/>
      <c r="M83" s="21"/>
    </row>
    <row r="84" customFormat="false" ht="15" hidden="false" customHeight="false" outlineLevel="0" collapsed="false">
      <c r="A84" s="20" t="s">
        <v>286</v>
      </c>
      <c r="B84" s="20"/>
      <c r="C84" s="20"/>
      <c r="D84" s="20"/>
      <c r="E84" s="20"/>
      <c r="F84" s="20"/>
      <c r="G84" s="20"/>
      <c r="H84" s="20"/>
      <c r="I84" s="20"/>
      <c r="J84" s="20"/>
      <c r="K84" s="20" t="n">
        <f aca="true">IF(A84&lt;&gt;"",IF(J84&lt;&gt;"",J84-H84,TODAY()-H84),"")</f>
        <v>46164</v>
      </c>
      <c r="L84" s="20"/>
      <c r="M84" s="20"/>
    </row>
    <row r="85" customFormat="false" ht="15" hidden="false" customHeight="false" outlineLevel="0" collapsed="false">
      <c r="A85" s="21" t="s">
        <v>287</v>
      </c>
      <c r="B85" s="21"/>
      <c r="C85" s="21"/>
      <c r="D85" s="21"/>
      <c r="E85" s="21"/>
      <c r="F85" s="21"/>
      <c r="G85" s="21"/>
      <c r="H85" s="21"/>
      <c r="I85" s="21"/>
      <c r="J85" s="21"/>
      <c r="K85" s="21" t="n">
        <f aca="true">IF(A85&lt;&gt;"",IF(J85&lt;&gt;"",J85-H85,TODAY()-H85),"")</f>
        <v>46164</v>
      </c>
      <c r="L85" s="21"/>
      <c r="M85" s="21"/>
    </row>
    <row r="86" customFormat="false" ht="15" hidden="false" customHeight="false" outlineLevel="0" collapsed="false">
      <c r="A86" s="20" t="s">
        <v>288</v>
      </c>
      <c r="B86" s="20"/>
      <c r="C86" s="20"/>
      <c r="D86" s="20"/>
      <c r="E86" s="20"/>
      <c r="F86" s="20"/>
      <c r="G86" s="20"/>
      <c r="H86" s="20"/>
      <c r="I86" s="20"/>
      <c r="J86" s="20"/>
      <c r="K86" s="20" t="n">
        <f aca="true">IF(A86&lt;&gt;"",IF(J86&lt;&gt;"",J86-H86,TODAY()-H86),"")</f>
        <v>46164</v>
      </c>
      <c r="L86" s="20"/>
      <c r="M86" s="20"/>
    </row>
    <row r="87" customFormat="false" ht="15" hidden="false" customHeight="false" outlineLevel="0" collapsed="false">
      <c r="A87" s="21" t="s">
        <v>289</v>
      </c>
      <c r="B87" s="21"/>
      <c r="C87" s="21"/>
      <c r="D87" s="21"/>
      <c r="E87" s="21"/>
      <c r="F87" s="21"/>
      <c r="G87" s="21"/>
      <c r="H87" s="21"/>
      <c r="I87" s="21"/>
      <c r="J87" s="21"/>
      <c r="K87" s="21" t="n">
        <f aca="true">IF(A87&lt;&gt;"",IF(J87&lt;&gt;"",J87-H87,TODAY()-H87),"")</f>
        <v>46164</v>
      </c>
      <c r="L87" s="21"/>
      <c r="M87" s="21"/>
    </row>
    <row r="88" customFormat="false" ht="15" hidden="false" customHeight="false" outlineLevel="0" collapsed="false">
      <c r="A88" s="20" t="s">
        <v>290</v>
      </c>
      <c r="B88" s="20"/>
      <c r="C88" s="20"/>
      <c r="D88" s="20"/>
      <c r="E88" s="20"/>
      <c r="F88" s="20"/>
      <c r="G88" s="20"/>
      <c r="H88" s="20"/>
      <c r="I88" s="20"/>
      <c r="J88" s="20"/>
      <c r="K88" s="20" t="n">
        <f aca="true">IF(A88&lt;&gt;"",IF(J88&lt;&gt;"",J88-H88,TODAY()-H88),"")</f>
        <v>46164</v>
      </c>
      <c r="L88" s="20"/>
      <c r="M88" s="20"/>
    </row>
    <row r="89" customFormat="false" ht="15" hidden="false" customHeight="false" outlineLevel="0" collapsed="false">
      <c r="A89" s="21" t="s">
        <v>291</v>
      </c>
      <c r="B89" s="21"/>
      <c r="C89" s="21"/>
      <c r="D89" s="21"/>
      <c r="E89" s="21"/>
      <c r="F89" s="21"/>
      <c r="G89" s="21"/>
      <c r="H89" s="21"/>
      <c r="I89" s="21"/>
      <c r="J89" s="21"/>
      <c r="K89" s="21" t="n">
        <f aca="true">IF(A89&lt;&gt;"",IF(J89&lt;&gt;"",J89-H89,TODAY()-H89),"")</f>
        <v>46164</v>
      </c>
      <c r="L89" s="21"/>
      <c r="M89" s="21"/>
    </row>
    <row r="90" customFormat="false" ht="15" hidden="false" customHeight="false" outlineLevel="0" collapsed="false">
      <c r="A90" s="20" t="s">
        <v>292</v>
      </c>
      <c r="B90" s="20"/>
      <c r="C90" s="20"/>
      <c r="D90" s="20"/>
      <c r="E90" s="20"/>
      <c r="F90" s="20"/>
      <c r="G90" s="20"/>
      <c r="H90" s="20"/>
      <c r="I90" s="20"/>
      <c r="J90" s="20"/>
      <c r="K90" s="20" t="n">
        <f aca="true">IF(A90&lt;&gt;"",IF(J90&lt;&gt;"",J90-H90,TODAY()-H90),"")</f>
        <v>46164</v>
      </c>
      <c r="L90" s="20"/>
      <c r="M90" s="20"/>
    </row>
    <row r="91" customFormat="false" ht="15" hidden="false" customHeight="false" outlineLevel="0" collapsed="false">
      <c r="A91" s="21" t="s">
        <v>293</v>
      </c>
      <c r="B91" s="21"/>
      <c r="C91" s="21"/>
      <c r="D91" s="21"/>
      <c r="E91" s="21"/>
      <c r="F91" s="21"/>
      <c r="G91" s="21"/>
      <c r="H91" s="21"/>
      <c r="I91" s="21"/>
      <c r="J91" s="21"/>
      <c r="K91" s="21" t="n">
        <f aca="true">IF(A91&lt;&gt;"",IF(J91&lt;&gt;"",J91-H91,TODAY()-H91),"")</f>
        <v>46164</v>
      </c>
      <c r="L91" s="21"/>
      <c r="M91" s="21"/>
    </row>
    <row r="92" customFormat="false" ht="15" hidden="false" customHeight="false" outlineLevel="0" collapsed="false">
      <c r="A92" s="20" t="s">
        <v>294</v>
      </c>
      <c r="B92" s="20"/>
      <c r="C92" s="20"/>
      <c r="D92" s="20"/>
      <c r="E92" s="20"/>
      <c r="F92" s="20"/>
      <c r="G92" s="20"/>
      <c r="H92" s="20"/>
      <c r="I92" s="20"/>
      <c r="J92" s="20"/>
      <c r="K92" s="20" t="n">
        <f aca="true">IF(A92&lt;&gt;"",IF(J92&lt;&gt;"",J92-H92,TODAY()-H92),"")</f>
        <v>46164</v>
      </c>
      <c r="L92" s="20"/>
      <c r="M92" s="20"/>
    </row>
    <row r="93" customFormat="false" ht="15" hidden="false" customHeight="false" outlineLevel="0" collapsed="false">
      <c r="A93" s="21" t="s">
        <v>295</v>
      </c>
      <c r="B93" s="21"/>
      <c r="C93" s="21"/>
      <c r="D93" s="21"/>
      <c r="E93" s="21"/>
      <c r="F93" s="21"/>
      <c r="G93" s="21"/>
      <c r="H93" s="21"/>
      <c r="I93" s="21"/>
      <c r="J93" s="21"/>
      <c r="K93" s="21" t="n">
        <f aca="true">IF(A93&lt;&gt;"",IF(J93&lt;&gt;"",J93-H93,TODAY()-H93),"")</f>
        <v>46164</v>
      </c>
      <c r="L93" s="21"/>
      <c r="M93" s="21"/>
    </row>
    <row r="94" customFormat="false" ht="15" hidden="false" customHeight="false" outlineLevel="0" collapsed="false">
      <c r="A94" s="20" t="s">
        <v>296</v>
      </c>
      <c r="B94" s="20"/>
      <c r="C94" s="20"/>
      <c r="D94" s="20"/>
      <c r="E94" s="20"/>
      <c r="F94" s="20"/>
      <c r="G94" s="20"/>
      <c r="H94" s="20"/>
      <c r="I94" s="20"/>
      <c r="J94" s="20"/>
      <c r="K94" s="20" t="n">
        <f aca="true">IF(A94&lt;&gt;"",IF(J94&lt;&gt;"",J94-H94,TODAY()-H94),"")</f>
        <v>46164</v>
      </c>
      <c r="L94" s="20"/>
      <c r="M94" s="20"/>
    </row>
    <row r="95" customFormat="false" ht="15" hidden="false" customHeight="false" outlineLevel="0" collapsed="false">
      <c r="A95" s="21" t="s">
        <v>297</v>
      </c>
      <c r="B95" s="21"/>
      <c r="C95" s="21"/>
      <c r="D95" s="21"/>
      <c r="E95" s="21"/>
      <c r="F95" s="21"/>
      <c r="G95" s="21"/>
      <c r="H95" s="21"/>
      <c r="I95" s="21"/>
      <c r="J95" s="21"/>
      <c r="K95" s="21" t="n">
        <f aca="true">IF(A95&lt;&gt;"",IF(J95&lt;&gt;"",J95-H95,TODAY()-H95),"")</f>
        <v>46164</v>
      </c>
      <c r="L95" s="21"/>
      <c r="M95" s="21"/>
    </row>
    <row r="96" customFormat="false" ht="15" hidden="false" customHeight="false" outlineLevel="0" collapsed="false">
      <c r="A96" s="20" t="s">
        <v>298</v>
      </c>
      <c r="B96" s="20"/>
      <c r="C96" s="20"/>
      <c r="D96" s="20"/>
      <c r="E96" s="20"/>
      <c r="F96" s="20"/>
      <c r="G96" s="20"/>
      <c r="H96" s="20"/>
      <c r="I96" s="20"/>
      <c r="J96" s="20"/>
      <c r="K96" s="20" t="n">
        <f aca="true">IF(A96&lt;&gt;"",IF(J96&lt;&gt;"",J96-H96,TODAY()-H96),"")</f>
        <v>46164</v>
      </c>
      <c r="L96" s="20"/>
      <c r="M96" s="20"/>
    </row>
    <row r="97" customFormat="false" ht="15" hidden="false" customHeight="false" outlineLevel="0" collapsed="false">
      <c r="A97" s="21" t="s">
        <v>299</v>
      </c>
      <c r="B97" s="21"/>
      <c r="C97" s="21"/>
      <c r="D97" s="21"/>
      <c r="E97" s="21"/>
      <c r="F97" s="21"/>
      <c r="G97" s="21"/>
      <c r="H97" s="21"/>
      <c r="I97" s="21"/>
      <c r="J97" s="21"/>
      <c r="K97" s="21" t="n">
        <f aca="true">IF(A97&lt;&gt;"",IF(J97&lt;&gt;"",J97-H97,TODAY()-H97),"")</f>
        <v>46164</v>
      </c>
      <c r="L97" s="21"/>
      <c r="M97" s="21"/>
    </row>
    <row r="98" customFormat="false" ht="15" hidden="false" customHeight="false" outlineLevel="0" collapsed="false">
      <c r="A98" s="20" t="s">
        <v>300</v>
      </c>
      <c r="B98" s="20"/>
      <c r="C98" s="20"/>
      <c r="D98" s="20"/>
      <c r="E98" s="20"/>
      <c r="F98" s="20"/>
      <c r="G98" s="20"/>
      <c r="H98" s="20"/>
      <c r="I98" s="20"/>
      <c r="J98" s="20"/>
      <c r="K98" s="20" t="n">
        <f aca="true">IF(A98&lt;&gt;"",IF(J98&lt;&gt;"",J98-H98,TODAY()-H98),"")</f>
        <v>46164</v>
      </c>
      <c r="L98" s="20"/>
      <c r="M98" s="20"/>
    </row>
    <row r="99" customFormat="false" ht="15" hidden="false" customHeight="false" outlineLevel="0" collapsed="false">
      <c r="A99" s="21" t="s">
        <v>301</v>
      </c>
      <c r="B99" s="21"/>
      <c r="C99" s="21"/>
      <c r="D99" s="21"/>
      <c r="E99" s="21"/>
      <c r="F99" s="21"/>
      <c r="G99" s="21"/>
      <c r="H99" s="21"/>
      <c r="I99" s="21"/>
      <c r="J99" s="21"/>
      <c r="K99" s="21" t="n">
        <f aca="true">IF(A99&lt;&gt;"",IF(J99&lt;&gt;"",J99-H99,TODAY()-H99),"")</f>
        <v>46164</v>
      </c>
      <c r="L99" s="21"/>
      <c r="M99" s="21"/>
    </row>
    <row r="100" customFormat="false" ht="15" hidden="false" customHeight="false" outlineLevel="0" collapsed="false">
      <c r="A100" s="20" t="s">
        <v>302</v>
      </c>
      <c r="B100" s="20"/>
      <c r="C100" s="20"/>
      <c r="D100" s="20"/>
      <c r="E100" s="20"/>
      <c r="F100" s="20"/>
      <c r="G100" s="20"/>
      <c r="H100" s="20"/>
      <c r="I100" s="20"/>
      <c r="J100" s="20"/>
      <c r="K100" s="20" t="n">
        <f aca="true">IF(A100&lt;&gt;"",IF(J100&lt;&gt;"",J100-H100,TODAY()-H100),"")</f>
        <v>46164</v>
      </c>
      <c r="L100" s="20"/>
      <c r="M100" s="20"/>
    </row>
    <row r="101" customFormat="false" ht="15" hidden="false" customHeight="false" outlineLevel="0" collapsed="false">
      <c r="A101" s="21" t="s">
        <v>303</v>
      </c>
      <c r="B101" s="21"/>
      <c r="C101" s="21"/>
      <c r="D101" s="21"/>
      <c r="E101" s="21"/>
      <c r="F101" s="21"/>
      <c r="G101" s="21"/>
      <c r="H101" s="21"/>
      <c r="I101" s="21"/>
      <c r="J101" s="21"/>
      <c r="K101" s="21" t="n">
        <f aca="true">IF(A101&lt;&gt;"",IF(J101&lt;&gt;"",J101-H101,TODAY()-H101),"")</f>
        <v>46164</v>
      </c>
      <c r="L101" s="21"/>
      <c r="M101" s="21"/>
    </row>
    <row r="102" customFormat="false" ht="15" hidden="false" customHeight="false" outlineLevel="0" collapsed="false">
      <c r="A102" s="20" t="s">
        <v>304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20" t="n">
        <f aca="true">IF(A102&lt;&gt;"",IF(J102&lt;&gt;"",J102-H102,TODAY()-H102),"")</f>
        <v>46164</v>
      </c>
      <c r="L102" s="20"/>
      <c r="M102" s="20"/>
    </row>
    <row r="103" customFormat="false" ht="15" hidden="false" customHeight="false" outlineLevel="0" collapsed="false">
      <c r="A103" s="21" t="s">
        <v>305</v>
      </c>
      <c r="B103" s="21"/>
      <c r="C103" s="21"/>
      <c r="D103" s="21"/>
      <c r="E103" s="21"/>
      <c r="F103" s="21"/>
      <c r="G103" s="21"/>
      <c r="H103" s="21"/>
      <c r="I103" s="21"/>
      <c r="J103" s="21"/>
      <c r="K103" s="21" t="n">
        <f aca="true">IF(A103&lt;&gt;"",IF(J103&lt;&gt;"",J103-H103,TODAY()-H103),"")</f>
        <v>46164</v>
      </c>
      <c r="L103" s="21"/>
      <c r="M103" s="21"/>
    </row>
  </sheetData>
  <mergeCells count="2">
    <mergeCell ref="A1:O1"/>
    <mergeCell ref="A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5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6" min="5" style="0" width="20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30"/>
  </cols>
  <sheetData>
    <row r="1" customFormat="false" ht="27.75" hidden="false" customHeight="true" outlineLevel="0" collapsed="false">
      <c r="A1" s="26" t="s">
        <v>306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customFormat="false" ht="15" hidden="false" customHeight="false" outlineLevel="0" collapsed="false">
      <c r="A2" s="27" t="s">
        <v>307</v>
      </c>
      <c r="B2" s="27" t="s">
        <v>308</v>
      </c>
      <c r="C2" s="27" t="s">
        <v>309</v>
      </c>
      <c r="D2" s="27" t="s">
        <v>310</v>
      </c>
      <c r="E2" s="27" t="s">
        <v>311</v>
      </c>
      <c r="F2" s="27" t="s">
        <v>312</v>
      </c>
      <c r="G2" s="27" t="s">
        <v>313</v>
      </c>
      <c r="H2" s="27" t="s">
        <v>314</v>
      </c>
      <c r="I2" s="27" t="s">
        <v>315</v>
      </c>
      <c r="J2" s="27" t="s">
        <v>31</v>
      </c>
      <c r="K2" s="27" t="s">
        <v>34</v>
      </c>
      <c r="L2" s="27" t="s">
        <v>14</v>
      </c>
    </row>
    <row r="3" customFormat="false" ht="15" hidden="false" customHeight="true" outlineLevel="0" collapsed="false">
      <c r="A3" s="19" t="s">
        <v>316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customFormat="false" ht="15" hidden="false" customHeight="false" outlineLevel="0" collapsed="false">
      <c r="A4" s="20" t="s">
        <v>317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</row>
    <row r="5" customFormat="false" ht="15" hidden="false" customHeight="false" outlineLevel="0" collapsed="false">
      <c r="A5" s="21" t="s">
        <v>318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</row>
    <row r="6" customFormat="false" ht="15" hidden="false" customHeight="false" outlineLevel="0" collapsed="false">
      <c r="A6" s="20" t="s">
        <v>319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</row>
    <row r="7" customFormat="false" ht="15" hidden="false" customHeight="false" outlineLevel="0" collapsed="false">
      <c r="A7" s="21" t="s">
        <v>320</v>
      </c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15" hidden="false" customHeight="false" outlineLevel="0" collapsed="false">
      <c r="A8" s="20" t="s">
        <v>321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</row>
    <row r="9" customFormat="false" ht="15" hidden="false" customHeight="false" outlineLevel="0" collapsed="false">
      <c r="A9" s="21" t="s">
        <v>322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</row>
    <row r="10" customFormat="false" ht="15" hidden="false" customHeight="false" outlineLevel="0" collapsed="false">
      <c r="A10" s="20" t="s">
        <v>323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false" outlineLevel="0" collapsed="false">
      <c r="A11" s="21" t="s">
        <v>324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</row>
    <row r="12" customFormat="false" ht="15" hidden="false" customHeight="false" outlineLevel="0" collapsed="false">
      <c r="A12" s="20" t="s">
        <v>325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false" outlineLevel="0" collapsed="false">
      <c r="A13" s="21" t="s">
        <v>326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4" customFormat="false" ht="15" hidden="false" customHeight="false" outlineLevel="0" collapsed="false">
      <c r="A14" s="20" t="s">
        <v>327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false" outlineLevel="0" collapsed="false">
      <c r="A15" s="21" t="s">
        <v>328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</row>
    <row r="16" customFormat="false" ht="15" hidden="false" customHeight="false" outlineLevel="0" collapsed="false">
      <c r="A16" s="20" t="s">
        <v>329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customFormat="false" ht="15" hidden="false" customHeight="false" outlineLevel="0" collapsed="false">
      <c r="A17" s="21" t="s">
        <v>330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</row>
    <row r="18" customFormat="false" ht="15" hidden="false" customHeight="false" outlineLevel="0" collapsed="false">
      <c r="A18" s="20" t="s">
        <v>331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</row>
    <row r="19" customFormat="false" ht="15" hidden="false" customHeight="false" outlineLevel="0" collapsed="false">
      <c r="A19" s="21" t="s">
        <v>332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</row>
    <row r="20" customFormat="false" ht="15" hidden="false" customHeight="false" outlineLevel="0" collapsed="false">
      <c r="A20" s="20" t="s">
        <v>333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false" outlineLevel="0" collapsed="false">
      <c r="A21" s="21" t="s">
        <v>334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customFormat="false" ht="15" hidden="false" customHeight="false" outlineLevel="0" collapsed="false">
      <c r="A22" s="20" t="s">
        <v>335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false" outlineLevel="0" collapsed="false">
      <c r="A23" s="21" t="s">
        <v>336</v>
      </c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customFormat="false" ht="15" hidden="false" customHeight="false" outlineLevel="0" collapsed="false">
      <c r="A24" s="20" t="s">
        <v>337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false" outlineLevel="0" collapsed="false">
      <c r="A25" s="21" t="s">
        <v>338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6" customFormat="false" ht="15" hidden="false" customHeight="false" outlineLevel="0" collapsed="false">
      <c r="A26" s="20" t="s">
        <v>339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false" outlineLevel="0" collapsed="false">
      <c r="A27" s="21" t="s">
        <v>340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</row>
    <row r="28" customFormat="false" ht="15" hidden="false" customHeight="false" outlineLevel="0" collapsed="false">
      <c r="A28" s="20" t="s">
        <v>341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false" outlineLevel="0" collapsed="false">
      <c r="A29" s="21" t="s">
        <v>342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</row>
    <row r="30" customFormat="false" ht="15" hidden="false" customHeight="false" outlineLevel="0" collapsed="false">
      <c r="A30" s="20" t="s">
        <v>343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false" outlineLevel="0" collapsed="false">
      <c r="A31" s="21" t="s">
        <v>344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</row>
    <row r="32" customFormat="false" ht="15" hidden="false" customHeight="false" outlineLevel="0" collapsed="false">
      <c r="A32" s="20" t="s">
        <v>345</v>
      </c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false" outlineLevel="0" collapsed="false">
      <c r="A33" s="21" t="s">
        <v>346</v>
      </c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</row>
    <row r="34" customFormat="false" ht="15" hidden="false" customHeight="false" outlineLevel="0" collapsed="false">
      <c r="A34" s="20" t="s">
        <v>347</v>
      </c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false" outlineLevel="0" collapsed="false">
      <c r="A35" s="21" t="s">
        <v>348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</row>
    <row r="36" customFormat="false" ht="15" hidden="false" customHeight="false" outlineLevel="0" collapsed="false">
      <c r="A36" s="20" t="s">
        <v>349</v>
      </c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false" outlineLevel="0" collapsed="false">
      <c r="A37" s="21" t="s">
        <v>350</v>
      </c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customFormat="false" ht="15" hidden="false" customHeight="false" outlineLevel="0" collapsed="false">
      <c r="A38" s="20" t="s">
        <v>351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false" outlineLevel="0" collapsed="false">
      <c r="A39" s="21" t="s">
        <v>352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</row>
    <row r="40" customFormat="false" ht="15" hidden="false" customHeight="false" outlineLevel="0" collapsed="false">
      <c r="A40" s="20" t="s">
        <v>353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false" outlineLevel="0" collapsed="false">
      <c r="A41" s="21" t="s">
        <v>354</v>
      </c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</row>
    <row r="42" customFormat="false" ht="15" hidden="false" customHeight="false" outlineLevel="0" collapsed="false">
      <c r="A42" s="20" t="s">
        <v>355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5" hidden="false" customHeight="false" outlineLevel="0" collapsed="false">
      <c r="A43" s="21" t="s">
        <v>356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</row>
    <row r="44" customFormat="false" ht="15" hidden="false" customHeight="false" outlineLevel="0" collapsed="false">
      <c r="A44" s="20" t="s">
        <v>357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5" hidden="false" customHeight="false" outlineLevel="0" collapsed="false">
      <c r="A45" s="21" t="s">
        <v>358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</row>
    <row r="46" customFormat="false" ht="15" hidden="false" customHeight="false" outlineLevel="0" collapsed="false">
      <c r="A46" s="20" t="s">
        <v>359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5" hidden="false" customHeight="false" outlineLevel="0" collapsed="false">
      <c r="A47" s="21" t="s">
        <v>360</v>
      </c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</row>
    <row r="48" customFormat="false" ht="15" hidden="false" customHeight="false" outlineLevel="0" collapsed="false">
      <c r="A48" s="20" t="s">
        <v>361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5" hidden="false" customHeight="false" outlineLevel="0" collapsed="false">
      <c r="A49" s="21" t="s">
        <v>362</v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</row>
    <row r="50" customFormat="false" ht="15" hidden="false" customHeight="false" outlineLevel="0" collapsed="false">
      <c r="A50" s="20" t="s">
        <v>363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5" hidden="false" customHeight="false" outlineLevel="0" collapsed="false">
      <c r="A51" s="21" t="s">
        <v>364</v>
      </c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</row>
    <row r="52" customFormat="false" ht="15" hidden="false" customHeight="false" outlineLevel="0" collapsed="false">
      <c r="A52" s="20" t="s">
        <v>365</v>
      </c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5" hidden="false" customHeight="false" outlineLevel="0" collapsed="false">
      <c r="A53" s="21" t="s">
        <v>366</v>
      </c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</row>
  </sheetData>
  <mergeCells count="2">
    <mergeCell ref="A1:L1"/>
    <mergeCell ref="A3:L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2026-05-22T19:41:19Z</dcterms:created>
  <dc:creator>openpyxl</dc:creator>
  <dc:description/>
  <dc:language>en-US</dc:language>
  <cp:lastModifiedBy/>
  <dcterms:modified xsi:type="dcterms:W3CDTF">2026-05-22T19:41:20Z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