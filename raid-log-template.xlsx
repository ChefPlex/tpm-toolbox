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Risks" sheetId="2" state="visible" r:id="rId2"/>
    <sheet name="Assumptions" sheetId="3" state="visible" r:id="rId3"/>
    <sheet name="Issues" sheetId="4" state="visible" r:id="rId4"/>
    <sheet name="Dependenci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9"/>
    </font>
  </fonts>
  <fills count="12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C7CE"/>
        <bgColor rgb="FFEAD1DC"/>
      </patternFill>
    </fill>
    <fill>
      <patternFill patternType="solid">
        <fgColor rgb="FFEAD1DC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1F78B4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0" borderId="2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D4EDDA"/>
          <bgColor rgb="00D4EDDA"/>
        </patternFill>
      </fill>
    </dxf>
    <dxf>
      <font>
        <color rgb="00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7030A0"/>
      <rgbColor rgb="FFF2F2F2"/>
      <rgbColor rgb="FFDDEBF7"/>
      <rgbColor rgb="FF660066"/>
      <rgbColor rgb="FFFF8080"/>
      <rgbColor rgb="FF1F78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8" min="1" max="1"/>
    <col width="12" customWidth="1" style="28" min="2" max="2"/>
    <col width="8" customWidth="1" style="28" min="3" max="3"/>
    <col width="12" customWidth="1" style="28" min="4" max="4"/>
    <col width="18" customWidth="1" style="28" min="5" max="5"/>
    <col width="10" customWidth="1" style="28" min="6" max="7"/>
    <col width="30" customWidth="1" style="28" min="8" max="8"/>
  </cols>
  <sheetData>
    <row r="1" ht="36" customHeight="1" s="29">
      <c r="A1" s="30" t="inlineStr">
        <is>
          <t>PROGRAM RAID LOG</t>
        </is>
      </c>
    </row>
    <row r="3" ht="15" customHeight="1" s="29">
      <c r="A3" s="31" t="inlineStr">
        <is>
          <t>Program Name</t>
        </is>
      </c>
      <c r="B3" s="32" t="n"/>
    </row>
    <row r="4" ht="15" customHeight="1" s="29">
      <c r="A4" s="31" t="inlineStr">
        <is>
          <t>TPM</t>
        </is>
      </c>
      <c r="B4" s="32" t="n"/>
    </row>
    <row r="5" ht="15" customHeight="1" s="29">
      <c r="A5" s="31" t="inlineStr">
        <is>
          <t>Version</t>
        </is>
      </c>
      <c r="B5" s="33" t="inlineStr">
        <is>
          <t>1.0</t>
        </is>
      </c>
    </row>
    <row r="6" ht="15" customHeight="1" s="29">
      <c r="A6" s="31" t="inlineStr">
        <is>
          <t>Last Updated</t>
        </is>
      </c>
      <c r="B6" s="32" t="n"/>
    </row>
    <row r="8" ht="15" customHeight="1" s="29">
      <c r="A8" s="34" t="inlineStr">
        <is>
          <t>RAID STATUS SUMMARY</t>
        </is>
      </c>
    </row>
    <row r="9" ht="26.85" customHeight="1" s="29">
      <c r="A9" s="35" t="inlineStr">
        <is>
          <t>Category</t>
        </is>
      </c>
      <c r="B9" s="35" t="inlineStr">
        <is>
          <t>Total Items</t>
        </is>
      </c>
      <c r="C9" s="35" t="inlineStr">
        <is>
          <t>Open</t>
        </is>
      </c>
      <c r="D9" s="35" t="inlineStr">
        <is>
          <t>In Progress</t>
        </is>
      </c>
      <c r="E9" s="35" t="inlineStr">
        <is>
          <t>Closed / Resolved</t>
        </is>
      </c>
      <c r="F9" s="35" t="inlineStr">
        <is>
          <t>No Owner</t>
        </is>
      </c>
      <c r="G9" s="35" t="inlineStr">
        <is>
          <t>No Plan</t>
        </is>
      </c>
      <c r="H9" s="35" t="inlineStr">
        <is>
          <t>Notes</t>
        </is>
      </c>
    </row>
    <row r="10" ht="15" customHeight="1" s="29">
      <c r="A10" s="36" t="inlineStr">
        <is>
          <t>Risks</t>
        </is>
      </c>
      <c r="B10" s="37">
        <f>COUNTA(Risks!B4:B103)</f>
        <v/>
      </c>
      <c r="C10" s="37">
        <f>COUNTIFS(Risks!B4:B103,"&lt;&gt;",Risks!I4:I103,"Open")</f>
        <v/>
      </c>
      <c r="D10" s="37">
        <f>COUNTIFS(Risks!B4:B103,"&lt;&gt;",Risks!I4:I103,"In Progress")</f>
        <v/>
      </c>
      <c r="E10" s="37">
        <f>COUNTIFS(Risks!B4:B103,"&lt;&gt;",Risks!I4:I103,"Mitigated")+COUNTIFS(Risks!B4:B103,"&lt;&gt;",Risks!I4:I103,"Closed")</f>
        <v/>
      </c>
      <c r="F10" s="37">
        <f>COUNTIFS(Risks!B4:B103,"&lt;&gt;",Risks!C4:C103,"")</f>
        <v/>
      </c>
      <c r="G10" s="37">
        <f>COUNTIFS(Risks!B4:B103,"&lt;&gt;",Risks!K4:K103,"")</f>
        <v/>
      </c>
      <c r="H10" s="37" t="inlineStr">
        <is>
          <t>Closed counts Mitigated + Closed. No Plan = blank Mitigation Plan.</t>
        </is>
      </c>
    </row>
    <row r="11" ht="15" customHeight="1" s="29">
      <c r="A11" s="38" t="inlineStr">
        <is>
          <t>Assumptions</t>
        </is>
      </c>
      <c r="B11" s="39">
        <f>COUNTA(Assumptions!B4:B53)</f>
        <v/>
      </c>
      <c r="C11" s="39">
        <f>COUNTIFS(Assumptions!B4:B53,"&lt;&gt;",Assumptions!C4:C53,"Open")</f>
        <v/>
      </c>
      <c r="D11" s="39" t="inlineStr">
        <is>
          <t>n/a</t>
        </is>
      </c>
      <c r="E11" s="39">
        <f>COUNTIFS(Assumptions!B4:B53,"&lt;&gt;",Assumptions!C4:C53,"Validated")+COUNTIFS(Assumptions!B4:B53,"&lt;&gt;",Assumptions!C4:C53,"Invalidated")+COUNTIFS(Assumptions!B4:B53,"&lt;&gt;",Assumptions!C4:C53,"Closed")</f>
        <v/>
      </c>
      <c r="F11" s="39">
        <f>COUNTIFS(Assumptions!B4:B53,"&lt;&gt;",Assumptions!G4:G53,"")</f>
        <v/>
      </c>
      <c r="G11" s="39" t="inlineStr">
        <is>
          <t>n/a</t>
        </is>
      </c>
      <c r="H11" s="39" t="inlineStr">
        <is>
          <t>Closed counts Validated, Invalidated and Closed. Assumptions have no in-progress state.</t>
        </is>
      </c>
    </row>
    <row r="12" ht="15" customHeight="1" s="29">
      <c r="A12" s="40" t="inlineStr">
        <is>
          <t>Issues</t>
        </is>
      </c>
      <c r="B12" s="41">
        <f>COUNTA(Issues!B4:B103)</f>
        <v/>
      </c>
      <c r="C12" s="41">
        <f>COUNTIFS(Issues!B4:B103,"&lt;&gt;",Issues!F4:F103,"Open")</f>
        <v/>
      </c>
      <c r="D12" s="41">
        <f>COUNTIFS(Issues!B4:B103,"&lt;&gt;",Issues!F4:F103,"In Progress")</f>
        <v/>
      </c>
      <c r="E12" s="41">
        <f>COUNTIFS(Issues!B4:B103,"&lt;&gt;",Issues!F4:F103,"Resolved")+COUNTIFS(Issues!B4:B103,"&lt;&gt;",Issues!F4:F103,"Closed")</f>
        <v/>
      </c>
      <c r="F12" s="41">
        <f>COUNTIFS(Issues!B4:B103,"&lt;&gt;",Issues!C4:C103,"")</f>
        <v/>
      </c>
      <c r="G12" s="41">
        <f>COUNTIFS(Issues!B4:B103,"&lt;&gt;",Issues!G4:G103,"")</f>
        <v/>
      </c>
      <c r="H12" s="41" t="inlineStr">
        <is>
          <t>Closed counts Resolved + Closed. No Plan = blank Resolution Plan.</t>
        </is>
      </c>
    </row>
    <row r="13" ht="15" customHeight="1" s="29">
      <c r="A13" s="42" t="inlineStr">
        <is>
          <t>Dependencies</t>
        </is>
      </c>
      <c r="B13" s="43">
        <f>COUNTA(Dependencies!B4:B53)</f>
        <v/>
      </c>
      <c r="C13" s="43">
        <f>COUNTIFS(Dependencies!B4:B53,"&lt;&gt;",Dependencies!K4:K53,"On Track")</f>
        <v/>
      </c>
      <c r="D13" s="43">
        <f>COUNTIFS(Dependencies!B4:B53,"&lt;&gt;",Dependencies!K4:K53,"At Risk")+COUNTIFS(Dependencies!B4:B53,"&lt;&gt;",Dependencies!K4:K53,"Blocked")</f>
        <v/>
      </c>
      <c r="E13" s="43">
        <f>COUNTIFS(Dependencies!B4:B53,"&lt;&gt;",Dependencies!K4:K53,"Complete")</f>
        <v/>
      </c>
      <c r="F13" s="43">
        <f>COUNTIFS(Dependencies!B4:B53,"&lt;&gt;",Dependencies!E4:E53,"")</f>
        <v/>
      </c>
      <c r="G13" s="43" t="inlineStr">
        <is>
          <t>n/a</t>
        </is>
      </c>
      <c r="H13" s="43" t="inlineStr">
        <is>
          <t>Open = On Track; In Progress = At Risk + Blocked. No owner = blank Owner (Our Side).</t>
        </is>
      </c>
    </row>
    <row r="15" ht="15" customHeight="1" s="29">
      <c r="A15" s="34" t="inlineStr">
        <is>
          <t>HOW TO USE THIS LOG</t>
        </is>
      </c>
    </row>
    <row r="16" ht="15" customHeight="1" s="29">
      <c r="A16" s="44" t="inlineStr">
        <is>
          <t>1.  Fill in Program Name, TPM, and Last Updated at the top of this sheet.</t>
        </is>
      </c>
      <c r="B16" s="45" t="n"/>
      <c r="C16" s="45" t="n"/>
      <c r="D16" s="45" t="n"/>
      <c r="E16" s="45" t="n"/>
      <c r="F16" s="45" t="n"/>
      <c r="G16" s="45" t="n"/>
      <c r="H16" s="45" t="n"/>
    </row>
    <row r="17" ht="15" customHeight="1" s="29">
      <c r="A17" s="46" t="inlineStr">
        <is>
          <t>2.  Each tab covers one RAID category. Start every program by running a team session to populate the initial list.</t>
        </is>
      </c>
      <c r="B17" s="45" t="n"/>
      <c r="C17" s="45" t="n"/>
      <c r="D17" s="45" t="n"/>
      <c r="E17" s="45" t="n"/>
      <c r="F17" s="45" t="n"/>
      <c r="G17" s="45" t="n"/>
      <c r="H17" s="45" t="n"/>
    </row>
    <row r="18" ht="15" customHeight="1" s="29">
      <c r="A18" s="44" t="inlineStr">
        <is>
          <t>3.  Review the log on a regular cadence - weekly for fast-moving programs, bi-weekly for steadier ones.</t>
        </is>
      </c>
      <c r="B18" s="45" t="n"/>
      <c r="C18" s="45" t="n"/>
      <c r="D18" s="45" t="n"/>
      <c r="E18" s="45" t="n"/>
      <c r="F18" s="45" t="n"/>
      <c r="G18" s="45" t="n"/>
      <c r="H18" s="45" t="n"/>
    </row>
    <row r="19" ht="15" customHeight="1" s="29">
      <c r="A19" s="46" t="inlineStr">
        <is>
          <t>4.  Every item needs an owner. An item without an owner is not being managed.</t>
        </is>
      </c>
      <c r="B19" s="45" t="n"/>
      <c r="C19" s="45" t="n"/>
      <c r="D19" s="45" t="n"/>
      <c r="E19" s="45" t="n"/>
      <c r="F19" s="45" t="n"/>
      <c r="G19" s="45" t="n"/>
      <c r="H19" s="45" t="n"/>
    </row>
    <row r="20" ht="15" customHeight="1" s="29">
      <c r="A20" s="44" t="inlineStr">
        <is>
          <t>5.  Close items when resolved. A closed item with a resolution note is more useful than a deleted one.</t>
        </is>
      </c>
      <c r="B20" s="45" t="n"/>
      <c r="C20" s="45" t="n"/>
      <c r="D20" s="45" t="n"/>
      <c r="E20" s="45" t="n"/>
      <c r="F20" s="45" t="n"/>
      <c r="G20" s="45" t="n"/>
      <c r="H20" s="45" t="n"/>
    </row>
    <row r="21" ht="15" customHeight="1" s="29">
      <c r="A21" s="46" t="inlineStr">
        <is>
          <t>6.  Escalate early. The log is your early warning system - use it before problems become crises.</t>
        </is>
      </c>
      <c r="B21" s="45" t="n"/>
      <c r="C21" s="45" t="n"/>
      <c r="D21" s="45" t="n"/>
      <c r="E21" s="45" t="n"/>
      <c r="F21" s="45" t="n"/>
      <c r="G21" s="45" t="n"/>
      <c r="H21" s="45" t="n"/>
    </row>
    <row r="22">
      <c r="A22" t="inlineStr">
        <is>
          <t>Counts include only rows with a description. Item IDs are prefilled, so an empty row is not an item.</t>
        </is>
      </c>
    </row>
  </sheetData>
  <mergeCells count="9">
    <mergeCell ref="A18:H18"/>
    <mergeCell ref="A21:H21"/>
    <mergeCell ref="A15:H15"/>
    <mergeCell ref="A20:H20"/>
    <mergeCell ref="A16:H16"/>
    <mergeCell ref="A19:H19"/>
    <mergeCell ref="A1:H1"/>
    <mergeCell ref="A8:H8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R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40" customWidth="1" style="28" min="2" max="2"/>
    <col width="20" customWidth="1" style="28" min="3" max="3"/>
    <col width="16" customWidth="1" style="28" min="4" max="4"/>
    <col width="12" customWidth="1" style="28" min="5" max="5"/>
    <col width="10" customWidth="1" style="28" min="6" max="6"/>
    <col width="12" customWidth="1" style="28" min="7" max="8"/>
    <col width="14" customWidth="1" style="28" min="9" max="9"/>
    <col width="12" customWidth="1" style="28" min="10" max="10"/>
    <col width="40" customWidth="1" style="28" min="11" max="11"/>
    <col width="13" customWidth="1" style="28" min="12" max="14"/>
    <col width="10" customWidth="1" style="28" min="15" max="15"/>
    <col width="30" customWidth="1" style="28" min="16" max="16"/>
  </cols>
  <sheetData>
    <row r="1" ht="27.75" customHeight="1" s="29">
      <c r="A1" s="47" t="inlineStr">
        <is>
          <t>RISK LOG</t>
        </is>
      </c>
    </row>
    <row r="2" ht="26.85" customHeight="1" s="29">
      <c r="A2" s="48" t="inlineStr">
        <is>
          <t>Risk ID</t>
        </is>
      </c>
      <c r="B2" s="48" t="inlineStr">
        <is>
          <t>Description &amp; Impact</t>
        </is>
      </c>
      <c r="C2" s="48" t="inlineStr">
        <is>
          <t>Owner</t>
        </is>
      </c>
      <c r="D2" s="48" t="inlineStr">
        <is>
          <t>Category</t>
        </is>
      </c>
      <c r="E2" s="48" t="inlineStr">
        <is>
          <t>Probability</t>
        </is>
      </c>
      <c r="F2" s="48" t="inlineStr">
        <is>
          <t>Impact</t>
        </is>
      </c>
      <c r="G2" s="48" t="inlineStr">
        <is>
          <t>Risk Rating</t>
        </is>
      </c>
      <c r="H2" s="48" t="inlineStr">
        <is>
          <t>Proximity</t>
        </is>
      </c>
      <c r="I2" s="48" t="inlineStr">
        <is>
          <t>Status</t>
        </is>
      </c>
      <c r="J2" s="48" t="inlineStr">
        <is>
          <t>Strategy</t>
        </is>
      </c>
      <c r="K2" s="48" t="inlineStr">
        <is>
          <t>Mitigation Plan</t>
        </is>
      </c>
      <c r="L2" s="48" t="inlineStr">
        <is>
          <t>Date Raised</t>
        </is>
      </c>
      <c r="M2" s="48" t="inlineStr">
        <is>
          <t>Target Close</t>
        </is>
      </c>
      <c r="N2" s="48" t="inlineStr">
        <is>
          <t>Date Closed</t>
        </is>
      </c>
      <c r="O2" s="48" t="inlineStr">
        <is>
          <t>Days Open</t>
        </is>
      </c>
      <c r="P2" s="48" t="inlineStr">
        <is>
          <t>Notes</t>
        </is>
      </c>
    </row>
    <row r="3" ht="15" customHeight="1" s="29">
      <c r="A3" s="49" t="inlineStr">
        <is>
          <t>Categories: Technical | Schedule | Budget | Operational | External    |    Probability &amp; Impact: High / Medium / Low    |    Status: Open / In Progress / Mitigated / Closed    |    Strategy: Avoid / Mitigate / Transfer / Accept    |    Risk Rating = Probability x Impact (Low 1, Medium 2, High 3): 6-9 high, 3-4 medium, 1-2 low</t>
        </is>
      </c>
    </row>
    <row r="4" ht="15" customHeight="1" s="29">
      <c r="A4" s="50" t="inlineStr">
        <is>
          <t>R1</t>
        </is>
      </c>
      <c r="B4" s="50" t="n"/>
      <c r="C4" s="50" t="n"/>
      <c r="D4" s="50" t="n"/>
      <c r="E4" s="50" t="n"/>
      <c r="F4" s="50" t="n"/>
      <c r="G4" s="50">
        <f>IF(OR(E4="",F4=""),"",MATCH(E4,{"Low","Medium","High"},0)*MATCH(F4,{"Low","Medium","High"},0))</f>
        <v/>
      </c>
      <c r="H4" s="50" t="n"/>
      <c r="I4" s="50" t="n"/>
      <c r="J4" s="50" t="n"/>
      <c r="K4" s="50" t="n"/>
      <c r="L4" s="50" t="n"/>
      <c r="M4" s="50" t="n"/>
      <c r="N4" s="50" t="n"/>
      <c r="O4" s="50">
        <f>IF(L4="","",IF(N4&lt;&gt;"",N4-L4,TODAY()-L4))</f>
        <v/>
      </c>
      <c r="P4" s="50" t="n"/>
    </row>
    <row r="5" ht="15" customHeight="1" s="29">
      <c r="A5" s="51" t="inlineStr">
        <is>
          <t>R2</t>
        </is>
      </c>
      <c r="B5" s="51" t="n"/>
      <c r="C5" s="51" t="n"/>
      <c r="D5" s="51" t="n"/>
      <c r="E5" s="51" t="n"/>
      <c r="F5" s="51" t="n"/>
      <c r="G5" s="51">
        <f>IF(OR(E5="",F5=""),"",MATCH(E5,{"Low","Medium","High"},0)*MATCH(F5,{"Low","Medium","High"},0))</f>
        <v/>
      </c>
      <c r="H5" s="51" t="n"/>
      <c r="I5" s="51" t="n"/>
      <c r="J5" s="51" t="n"/>
      <c r="K5" s="51" t="n"/>
      <c r="L5" s="51" t="n"/>
      <c r="M5" s="51" t="n"/>
      <c r="N5" s="51" t="n"/>
      <c r="O5" s="51">
        <f>IF(L5="","",IF(N5&lt;&gt;"",N5-L5,TODAY()-L5))</f>
        <v/>
      </c>
      <c r="P5" s="51" t="n"/>
    </row>
    <row r="6" ht="15" customHeight="1" s="29">
      <c r="A6" s="50" t="inlineStr">
        <is>
          <t>R3</t>
        </is>
      </c>
      <c r="B6" s="50" t="n"/>
      <c r="C6" s="50" t="n"/>
      <c r="D6" s="50" t="n"/>
      <c r="E6" s="50" t="n"/>
      <c r="F6" s="50" t="n"/>
      <c r="G6" s="50">
        <f>IF(OR(E6="",F6=""),"",MATCH(E6,{"Low","Medium","High"},0)*MATCH(F6,{"Low","Medium","High"},0))</f>
        <v/>
      </c>
      <c r="H6" s="50" t="n"/>
      <c r="I6" s="50" t="n"/>
      <c r="J6" s="50" t="n"/>
      <c r="K6" s="50" t="n"/>
      <c r="L6" s="50" t="n"/>
      <c r="M6" s="50" t="n"/>
      <c r="N6" s="50" t="n"/>
      <c r="O6" s="50">
        <f>IF(L6="","",IF(N6&lt;&gt;"",N6-L6,TODAY()-L6))</f>
        <v/>
      </c>
      <c r="P6" s="50" t="n"/>
    </row>
    <row r="7" ht="15" customHeight="1" s="29">
      <c r="A7" s="51" t="inlineStr">
        <is>
          <t>R4</t>
        </is>
      </c>
      <c r="B7" s="51" t="n"/>
      <c r="C7" s="51" t="n"/>
      <c r="D7" s="51" t="n"/>
      <c r="E7" s="51" t="n"/>
      <c r="F7" s="51" t="n"/>
      <c r="G7" s="51">
        <f>IF(OR(E7="",F7=""),"",MATCH(E7,{"Low","Medium","High"},0)*MATCH(F7,{"Low","Medium","High"},0))</f>
        <v/>
      </c>
      <c r="H7" s="51" t="n"/>
      <c r="I7" s="51" t="n"/>
      <c r="J7" s="51" t="n"/>
      <c r="K7" s="51" t="n"/>
      <c r="L7" s="51" t="n"/>
      <c r="M7" s="51" t="n"/>
      <c r="N7" s="51" t="n"/>
      <c r="O7" s="51">
        <f>IF(L7="","",IF(N7&lt;&gt;"",N7-L7,TODAY()-L7))</f>
        <v/>
      </c>
      <c r="P7" s="51" t="n"/>
    </row>
    <row r="8" ht="15" customHeight="1" s="29">
      <c r="A8" s="50" t="inlineStr">
        <is>
          <t>R5</t>
        </is>
      </c>
      <c r="B8" s="50" t="n"/>
      <c r="C8" s="50" t="n"/>
      <c r="D8" s="50" t="n"/>
      <c r="E8" s="50" t="n"/>
      <c r="F8" s="50" t="n"/>
      <c r="G8" s="50">
        <f>IF(OR(E8="",F8=""),"",MATCH(E8,{"Low","Medium","High"},0)*MATCH(F8,{"Low","Medium","High"},0))</f>
        <v/>
      </c>
      <c r="H8" s="50" t="n"/>
      <c r="I8" s="50" t="n"/>
      <c r="J8" s="50" t="n"/>
      <c r="K8" s="50" t="n"/>
      <c r="L8" s="50" t="n"/>
      <c r="M8" s="50" t="n"/>
      <c r="N8" s="50" t="n"/>
      <c r="O8" s="50">
        <f>IF(L8="","",IF(N8&lt;&gt;"",N8-L8,TODAY()-L8))</f>
        <v/>
      </c>
      <c r="P8" s="50" t="n"/>
    </row>
    <row r="9" ht="15" customHeight="1" s="29">
      <c r="A9" s="51" t="inlineStr">
        <is>
          <t>R6</t>
        </is>
      </c>
      <c r="B9" s="51" t="n"/>
      <c r="C9" s="51" t="n"/>
      <c r="D9" s="51" t="n"/>
      <c r="E9" s="51" t="n"/>
      <c r="F9" s="51" t="n"/>
      <c r="G9" s="51">
        <f>IF(OR(E9="",F9=""),"",MATCH(E9,{"Low","Medium","High"},0)*MATCH(F9,{"Low","Medium","High"},0))</f>
        <v/>
      </c>
      <c r="H9" s="51" t="n"/>
      <c r="I9" s="51" t="n"/>
      <c r="J9" s="51" t="n"/>
      <c r="K9" s="51" t="n"/>
      <c r="L9" s="51" t="n"/>
      <c r="M9" s="51" t="n"/>
      <c r="N9" s="51" t="n"/>
      <c r="O9" s="51">
        <f>IF(L9="","",IF(N9&lt;&gt;"",N9-L9,TODAY()-L9))</f>
        <v/>
      </c>
      <c r="P9" s="51" t="n"/>
    </row>
    <row r="10" ht="15" customHeight="1" s="29">
      <c r="A10" s="50" t="inlineStr">
        <is>
          <t>R7</t>
        </is>
      </c>
      <c r="B10" s="50" t="n"/>
      <c r="C10" s="50" t="n"/>
      <c r="D10" s="50" t="n"/>
      <c r="E10" s="50" t="n"/>
      <c r="F10" s="50" t="n"/>
      <c r="G10" s="50">
        <f>IF(OR(E10="",F10=""),"",MATCH(E10,{"Low","Medium","High"},0)*MATCH(F10,{"Low","Medium","High"},0))</f>
        <v/>
      </c>
      <c r="H10" s="50" t="n"/>
      <c r="I10" s="50" t="n"/>
      <c r="J10" s="50" t="n"/>
      <c r="K10" s="50" t="n"/>
      <c r="L10" s="50" t="n"/>
      <c r="M10" s="50" t="n"/>
      <c r="N10" s="50" t="n"/>
      <c r="O10" s="50">
        <f>IF(L10="","",IF(N10&lt;&gt;"",N10-L10,TODAY()-L10))</f>
        <v/>
      </c>
      <c r="P10" s="50" t="n"/>
    </row>
    <row r="11" ht="15" customHeight="1" s="29">
      <c r="A11" s="51" t="inlineStr">
        <is>
          <t>R8</t>
        </is>
      </c>
      <c r="B11" s="51" t="n"/>
      <c r="C11" s="51" t="n"/>
      <c r="D11" s="51" t="n"/>
      <c r="E11" s="51" t="n"/>
      <c r="F11" s="51" t="n"/>
      <c r="G11" s="51">
        <f>IF(OR(E11="",F11=""),"",MATCH(E11,{"Low","Medium","High"},0)*MATCH(F11,{"Low","Medium","High"},0))</f>
        <v/>
      </c>
      <c r="H11" s="51" t="n"/>
      <c r="I11" s="51" t="n"/>
      <c r="J11" s="51" t="n"/>
      <c r="K11" s="51" t="n"/>
      <c r="L11" s="51" t="n"/>
      <c r="M11" s="51" t="n"/>
      <c r="N11" s="51" t="n"/>
      <c r="O11" s="51">
        <f>IF(L11="","",IF(N11&lt;&gt;"",N11-L11,TODAY()-L11))</f>
        <v/>
      </c>
      <c r="P11" s="51" t="n"/>
    </row>
    <row r="12" ht="15" customHeight="1" s="29">
      <c r="A12" s="50" t="inlineStr">
        <is>
          <t>R9</t>
        </is>
      </c>
      <c r="B12" s="50" t="n"/>
      <c r="C12" s="50" t="n"/>
      <c r="D12" s="50" t="n"/>
      <c r="E12" s="50" t="n"/>
      <c r="F12" s="50" t="n"/>
      <c r="G12" s="50">
        <f>IF(OR(E12="",F12=""),"",MATCH(E12,{"Low","Medium","High"},0)*MATCH(F12,{"Low","Medium","High"},0))</f>
        <v/>
      </c>
      <c r="H12" s="50" t="n"/>
      <c r="I12" s="50" t="n"/>
      <c r="J12" s="50" t="n"/>
      <c r="K12" s="50" t="n"/>
      <c r="L12" s="50" t="n"/>
      <c r="M12" s="50" t="n"/>
      <c r="N12" s="50" t="n"/>
      <c r="O12" s="50">
        <f>IF(L12="","",IF(N12&lt;&gt;"",N12-L12,TODAY()-L12))</f>
        <v/>
      </c>
      <c r="P12" s="50" t="n"/>
    </row>
    <row r="13" ht="15" customHeight="1" s="29">
      <c r="A13" s="51" t="inlineStr">
        <is>
          <t>R10</t>
        </is>
      </c>
      <c r="B13" s="51" t="n"/>
      <c r="C13" s="51" t="n"/>
      <c r="D13" s="51" t="n"/>
      <c r="E13" s="51" t="n"/>
      <c r="F13" s="51" t="n"/>
      <c r="G13" s="51">
        <f>IF(OR(E13="",F13=""),"",MATCH(E13,{"Low","Medium","High"},0)*MATCH(F13,{"Low","Medium","High"},0))</f>
        <v/>
      </c>
      <c r="H13" s="51" t="n"/>
      <c r="I13" s="51" t="n"/>
      <c r="J13" s="51" t="n"/>
      <c r="K13" s="51" t="n"/>
      <c r="L13" s="51" t="n"/>
      <c r="M13" s="51" t="n"/>
      <c r="N13" s="51" t="n"/>
      <c r="O13" s="51">
        <f>IF(L13="","",IF(N13&lt;&gt;"",N13-L13,TODAY()-L13))</f>
        <v/>
      </c>
      <c r="P13" s="51" t="n"/>
    </row>
    <row r="14" ht="15" customHeight="1" s="29">
      <c r="A14" s="50" t="inlineStr">
        <is>
          <t>R11</t>
        </is>
      </c>
      <c r="B14" s="50" t="n"/>
      <c r="C14" s="50" t="n"/>
      <c r="D14" s="50" t="n"/>
      <c r="E14" s="50" t="n"/>
      <c r="F14" s="50" t="n"/>
      <c r="G14" s="50">
        <f>IF(OR(E14="",F14=""),"",MATCH(E14,{"Low","Medium","High"},0)*MATCH(F14,{"Low","Medium","High"},0))</f>
        <v/>
      </c>
      <c r="H14" s="50" t="n"/>
      <c r="I14" s="50" t="n"/>
      <c r="J14" s="50" t="n"/>
      <c r="K14" s="50" t="n"/>
      <c r="L14" s="50" t="n"/>
      <c r="M14" s="50" t="n"/>
      <c r="N14" s="50" t="n"/>
      <c r="O14" s="50">
        <f>IF(L14="","",IF(N14&lt;&gt;"",N14-L14,TODAY()-L14))</f>
        <v/>
      </c>
      <c r="P14" s="50" t="n"/>
    </row>
    <row r="15" ht="15" customHeight="1" s="29">
      <c r="A15" s="51" t="inlineStr">
        <is>
          <t>R12</t>
        </is>
      </c>
      <c r="B15" s="51" t="n"/>
      <c r="C15" s="51" t="n"/>
      <c r="D15" s="51" t="n"/>
      <c r="E15" s="51" t="n"/>
      <c r="F15" s="51" t="n"/>
      <c r="G15" s="51">
        <f>IF(OR(E15="",F15=""),"",MATCH(E15,{"Low","Medium","High"},0)*MATCH(F15,{"Low","Medium","High"},0))</f>
        <v/>
      </c>
      <c r="H15" s="51" t="n"/>
      <c r="I15" s="51" t="n"/>
      <c r="J15" s="51" t="n"/>
      <c r="K15" s="51" t="n"/>
      <c r="L15" s="51" t="n"/>
      <c r="M15" s="51" t="n"/>
      <c r="N15" s="51" t="n"/>
      <c r="O15" s="51">
        <f>IF(L15="","",IF(N15&lt;&gt;"",N15-L15,TODAY()-L15))</f>
        <v/>
      </c>
      <c r="P15" s="51" t="n"/>
    </row>
    <row r="16" ht="15" customHeight="1" s="29">
      <c r="A16" s="50" t="inlineStr">
        <is>
          <t>R13</t>
        </is>
      </c>
      <c r="B16" s="50" t="n"/>
      <c r="C16" s="50" t="n"/>
      <c r="D16" s="50" t="n"/>
      <c r="E16" s="50" t="n"/>
      <c r="F16" s="50" t="n"/>
      <c r="G16" s="50">
        <f>IF(OR(E16="",F16=""),"",MATCH(E16,{"Low","Medium","High"},0)*MATCH(F16,{"Low","Medium","High"},0))</f>
        <v/>
      </c>
      <c r="H16" s="50" t="n"/>
      <c r="I16" s="50" t="n"/>
      <c r="J16" s="50" t="n"/>
      <c r="K16" s="50" t="n"/>
      <c r="L16" s="50" t="n"/>
      <c r="M16" s="50" t="n"/>
      <c r="N16" s="50" t="n"/>
      <c r="O16" s="50">
        <f>IF(L16="","",IF(N16&lt;&gt;"",N16-L16,TODAY()-L16))</f>
        <v/>
      </c>
      <c r="P16" s="50" t="n"/>
    </row>
    <row r="17" ht="15" customHeight="1" s="29">
      <c r="A17" s="51" t="inlineStr">
        <is>
          <t>R14</t>
        </is>
      </c>
      <c r="B17" s="51" t="n"/>
      <c r="C17" s="51" t="n"/>
      <c r="D17" s="51" t="n"/>
      <c r="E17" s="51" t="n"/>
      <c r="F17" s="51" t="n"/>
      <c r="G17" s="51">
        <f>IF(OR(E17="",F17=""),"",MATCH(E17,{"Low","Medium","High"},0)*MATCH(F17,{"Low","Medium","High"},0))</f>
        <v/>
      </c>
      <c r="H17" s="51" t="n"/>
      <c r="I17" s="51" t="n"/>
      <c r="J17" s="51" t="n"/>
      <c r="K17" s="51" t="n"/>
      <c r="L17" s="51" t="n"/>
      <c r="M17" s="51" t="n"/>
      <c r="N17" s="51" t="n"/>
      <c r="O17" s="51">
        <f>IF(L17="","",IF(N17&lt;&gt;"",N17-L17,TODAY()-L17))</f>
        <v/>
      </c>
      <c r="P17" s="51" t="n"/>
    </row>
    <row r="18" ht="15" customHeight="1" s="29">
      <c r="A18" s="50" t="inlineStr">
        <is>
          <t>R15</t>
        </is>
      </c>
      <c r="B18" s="50" t="n"/>
      <c r="C18" s="50" t="n"/>
      <c r="D18" s="50" t="n"/>
      <c r="E18" s="50" t="n"/>
      <c r="F18" s="50" t="n"/>
      <c r="G18" s="50">
        <f>IF(OR(E18="",F18=""),"",MATCH(E18,{"Low","Medium","High"},0)*MATCH(F18,{"Low","Medium","High"},0))</f>
        <v/>
      </c>
      <c r="H18" s="50" t="n"/>
      <c r="I18" s="50" t="n"/>
      <c r="J18" s="50" t="n"/>
      <c r="K18" s="50" t="n"/>
      <c r="L18" s="50" t="n"/>
      <c r="M18" s="50" t="n"/>
      <c r="N18" s="50" t="n"/>
      <c r="O18" s="50">
        <f>IF(L18="","",IF(N18&lt;&gt;"",N18-L18,TODAY()-L18))</f>
        <v/>
      </c>
      <c r="P18" s="50" t="n"/>
    </row>
    <row r="19" ht="15" customHeight="1" s="29">
      <c r="A19" s="51" t="inlineStr">
        <is>
          <t>R16</t>
        </is>
      </c>
      <c r="B19" s="51" t="n"/>
      <c r="C19" s="51" t="n"/>
      <c r="D19" s="51" t="n"/>
      <c r="E19" s="51" t="n"/>
      <c r="F19" s="51" t="n"/>
      <c r="G19" s="51">
        <f>IF(OR(E19="",F19=""),"",MATCH(E19,{"Low","Medium","High"},0)*MATCH(F19,{"Low","Medium","High"},0))</f>
        <v/>
      </c>
      <c r="H19" s="51" t="n"/>
      <c r="I19" s="51" t="n"/>
      <c r="J19" s="51" t="n"/>
      <c r="K19" s="51" t="n"/>
      <c r="L19" s="51" t="n"/>
      <c r="M19" s="51" t="n"/>
      <c r="N19" s="51" t="n"/>
      <c r="O19" s="51">
        <f>IF(L19="","",IF(N19&lt;&gt;"",N19-L19,TODAY()-L19))</f>
        <v/>
      </c>
      <c r="P19" s="51" t="n"/>
    </row>
    <row r="20" ht="15" customHeight="1" s="29">
      <c r="A20" s="50" t="inlineStr">
        <is>
          <t>R17</t>
        </is>
      </c>
      <c r="B20" s="50" t="n"/>
      <c r="C20" s="50" t="n"/>
      <c r="D20" s="50" t="n"/>
      <c r="E20" s="50" t="n"/>
      <c r="F20" s="50" t="n"/>
      <c r="G20" s="50">
        <f>IF(OR(E20="",F20=""),"",MATCH(E20,{"Low","Medium","High"},0)*MATCH(F20,{"Low","Medium","High"},0))</f>
        <v/>
      </c>
      <c r="H20" s="50" t="n"/>
      <c r="I20" s="50" t="n"/>
      <c r="J20" s="50" t="n"/>
      <c r="K20" s="50" t="n"/>
      <c r="L20" s="50" t="n"/>
      <c r="M20" s="50" t="n"/>
      <c r="N20" s="50" t="n"/>
      <c r="O20" s="50">
        <f>IF(L20="","",IF(N20&lt;&gt;"",N20-L20,TODAY()-L20))</f>
        <v/>
      </c>
      <c r="P20" s="50" t="n"/>
    </row>
    <row r="21" ht="15" customHeight="1" s="29">
      <c r="A21" s="51" t="inlineStr">
        <is>
          <t>R18</t>
        </is>
      </c>
      <c r="B21" s="51" t="n"/>
      <c r="C21" s="51" t="n"/>
      <c r="D21" s="51" t="n"/>
      <c r="E21" s="51" t="n"/>
      <c r="F21" s="51" t="n"/>
      <c r="G21" s="51">
        <f>IF(OR(E21="",F21=""),"",MATCH(E21,{"Low","Medium","High"},0)*MATCH(F21,{"Low","Medium","High"},0))</f>
        <v/>
      </c>
      <c r="H21" s="51" t="n"/>
      <c r="I21" s="51" t="n"/>
      <c r="J21" s="51" t="n"/>
      <c r="K21" s="51" t="n"/>
      <c r="L21" s="51" t="n"/>
      <c r="M21" s="51" t="n"/>
      <c r="N21" s="51" t="n"/>
      <c r="O21" s="51">
        <f>IF(L21="","",IF(N21&lt;&gt;"",N21-L21,TODAY()-L21))</f>
        <v/>
      </c>
      <c r="P21" s="51" t="n"/>
    </row>
    <row r="22" ht="15" customHeight="1" s="29">
      <c r="A22" s="50" t="inlineStr">
        <is>
          <t>R19</t>
        </is>
      </c>
      <c r="B22" s="50" t="n"/>
      <c r="C22" s="50" t="n"/>
      <c r="D22" s="50" t="n"/>
      <c r="E22" s="50" t="n"/>
      <c r="F22" s="50" t="n"/>
      <c r="G22" s="50">
        <f>IF(OR(E22="",F22=""),"",MATCH(E22,{"Low","Medium","High"},0)*MATCH(F22,{"Low","Medium","High"},0))</f>
        <v/>
      </c>
      <c r="H22" s="50" t="n"/>
      <c r="I22" s="50" t="n"/>
      <c r="J22" s="50" t="n"/>
      <c r="K22" s="50" t="n"/>
      <c r="L22" s="50" t="n"/>
      <c r="M22" s="50" t="n"/>
      <c r="N22" s="50" t="n"/>
      <c r="O22" s="50">
        <f>IF(L22="","",IF(N22&lt;&gt;"",N22-L22,TODAY()-L22))</f>
        <v/>
      </c>
      <c r="P22" s="50" t="n"/>
    </row>
    <row r="23" ht="15" customHeight="1" s="29">
      <c r="A23" s="51" t="inlineStr">
        <is>
          <t>R20</t>
        </is>
      </c>
      <c r="B23" s="51" t="n"/>
      <c r="C23" s="51" t="n"/>
      <c r="D23" s="51" t="n"/>
      <c r="E23" s="51" t="n"/>
      <c r="F23" s="51" t="n"/>
      <c r="G23" s="51">
        <f>IF(OR(E23="",F23=""),"",MATCH(E23,{"Low","Medium","High"},0)*MATCH(F23,{"Low","Medium","High"},0))</f>
        <v/>
      </c>
      <c r="H23" s="51" t="n"/>
      <c r="I23" s="51" t="n"/>
      <c r="J23" s="51" t="n"/>
      <c r="K23" s="51" t="n"/>
      <c r="L23" s="51" t="n"/>
      <c r="M23" s="51" t="n"/>
      <c r="N23" s="51" t="n"/>
      <c r="O23" s="51">
        <f>IF(L23="","",IF(N23&lt;&gt;"",N23-L23,TODAY()-L23))</f>
        <v/>
      </c>
      <c r="P23" s="51" t="n"/>
    </row>
    <row r="24" ht="15" customHeight="1" s="29">
      <c r="A24" s="50" t="inlineStr">
        <is>
          <t>R21</t>
        </is>
      </c>
      <c r="B24" s="50" t="n"/>
      <c r="C24" s="50" t="n"/>
      <c r="D24" s="50" t="n"/>
      <c r="E24" s="50" t="n"/>
      <c r="F24" s="50" t="n"/>
      <c r="G24" s="50">
        <f>IF(OR(E24="",F24=""),"",MATCH(E24,{"Low","Medium","High"},0)*MATCH(F24,{"Low","Medium","High"},0))</f>
        <v/>
      </c>
      <c r="H24" s="50" t="n"/>
      <c r="I24" s="50" t="n"/>
      <c r="J24" s="50" t="n"/>
      <c r="K24" s="50" t="n"/>
      <c r="L24" s="50" t="n"/>
      <c r="M24" s="50" t="n"/>
      <c r="N24" s="50" t="n"/>
      <c r="O24" s="50">
        <f>IF(L24="","",IF(N24&lt;&gt;"",N24-L24,TODAY()-L24))</f>
        <v/>
      </c>
      <c r="P24" s="50" t="n"/>
    </row>
    <row r="25" ht="15" customHeight="1" s="29">
      <c r="A25" s="51" t="inlineStr">
        <is>
          <t>R22</t>
        </is>
      </c>
      <c r="B25" s="51" t="n"/>
      <c r="C25" s="51" t="n"/>
      <c r="D25" s="51" t="n"/>
      <c r="E25" s="51" t="n"/>
      <c r="F25" s="51" t="n"/>
      <c r="G25" s="51">
        <f>IF(OR(E25="",F25=""),"",MATCH(E25,{"Low","Medium","High"},0)*MATCH(F25,{"Low","Medium","High"},0))</f>
        <v/>
      </c>
      <c r="H25" s="51" t="n"/>
      <c r="I25" s="51" t="n"/>
      <c r="J25" s="51" t="n"/>
      <c r="K25" s="51" t="n"/>
      <c r="L25" s="51" t="n"/>
      <c r="M25" s="51" t="n"/>
      <c r="N25" s="51" t="n"/>
      <c r="O25" s="51">
        <f>IF(L25="","",IF(N25&lt;&gt;"",N25-L25,TODAY()-L25))</f>
        <v/>
      </c>
      <c r="P25" s="51" t="n"/>
    </row>
    <row r="26" ht="15" customHeight="1" s="29">
      <c r="A26" s="50" t="inlineStr">
        <is>
          <t>R23</t>
        </is>
      </c>
      <c r="B26" s="50" t="n"/>
      <c r="C26" s="50" t="n"/>
      <c r="D26" s="50" t="n"/>
      <c r="E26" s="50" t="n"/>
      <c r="F26" s="50" t="n"/>
      <c r="G26" s="50">
        <f>IF(OR(E26="",F26=""),"",MATCH(E26,{"Low","Medium","High"},0)*MATCH(F26,{"Low","Medium","High"},0))</f>
        <v/>
      </c>
      <c r="H26" s="50" t="n"/>
      <c r="I26" s="50" t="n"/>
      <c r="J26" s="50" t="n"/>
      <c r="K26" s="50" t="n"/>
      <c r="L26" s="50" t="n"/>
      <c r="M26" s="50" t="n"/>
      <c r="N26" s="50" t="n"/>
      <c r="O26" s="50">
        <f>IF(L26="","",IF(N26&lt;&gt;"",N26-L26,TODAY()-L26))</f>
        <v/>
      </c>
      <c r="P26" s="50" t="n"/>
    </row>
    <row r="27" ht="15" customHeight="1" s="29">
      <c r="A27" s="51" t="inlineStr">
        <is>
          <t>R24</t>
        </is>
      </c>
      <c r="B27" s="51" t="n"/>
      <c r="C27" s="51" t="n"/>
      <c r="D27" s="51" t="n"/>
      <c r="E27" s="51" t="n"/>
      <c r="F27" s="51" t="n"/>
      <c r="G27" s="51">
        <f>IF(OR(E27="",F27=""),"",MATCH(E27,{"Low","Medium","High"},0)*MATCH(F27,{"Low","Medium","High"},0))</f>
        <v/>
      </c>
      <c r="H27" s="51" t="n"/>
      <c r="I27" s="51" t="n"/>
      <c r="J27" s="51" t="n"/>
      <c r="K27" s="51" t="n"/>
      <c r="L27" s="51" t="n"/>
      <c r="M27" s="51" t="n"/>
      <c r="N27" s="51" t="n"/>
      <c r="O27" s="51">
        <f>IF(L27="","",IF(N27&lt;&gt;"",N27-L27,TODAY()-L27))</f>
        <v/>
      </c>
      <c r="P27" s="51" t="n"/>
    </row>
    <row r="28" ht="15" customHeight="1" s="29">
      <c r="A28" s="50" t="inlineStr">
        <is>
          <t>R25</t>
        </is>
      </c>
      <c r="B28" s="50" t="n"/>
      <c r="C28" s="50" t="n"/>
      <c r="D28" s="50" t="n"/>
      <c r="E28" s="50" t="n"/>
      <c r="F28" s="50" t="n"/>
      <c r="G28" s="50">
        <f>IF(OR(E28="",F28=""),"",MATCH(E28,{"Low","Medium","High"},0)*MATCH(F28,{"Low","Medium","High"},0))</f>
        <v/>
      </c>
      <c r="H28" s="50" t="n"/>
      <c r="I28" s="50" t="n"/>
      <c r="J28" s="50" t="n"/>
      <c r="K28" s="50" t="n"/>
      <c r="L28" s="50" t="n"/>
      <c r="M28" s="50" t="n"/>
      <c r="N28" s="50" t="n"/>
      <c r="O28" s="50">
        <f>IF(L28="","",IF(N28&lt;&gt;"",N28-L28,TODAY()-L28))</f>
        <v/>
      </c>
      <c r="P28" s="50" t="n"/>
    </row>
    <row r="29" ht="15" customHeight="1" s="29">
      <c r="A29" s="51" t="inlineStr">
        <is>
          <t>R26</t>
        </is>
      </c>
      <c r="B29" s="51" t="n"/>
      <c r="C29" s="51" t="n"/>
      <c r="D29" s="51" t="n"/>
      <c r="E29" s="51" t="n"/>
      <c r="F29" s="51" t="n"/>
      <c r="G29" s="51">
        <f>IF(OR(E29="",F29=""),"",MATCH(E29,{"Low","Medium","High"},0)*MATCH(F29,{"Low","Medium","High"},0))</f>
        <v/>
      </c>
      <c r="H29" s="51" t="n"/>
      <c r="I29" s="51" t="n"/>
      <c r="J29" s="51" t="n"/>
      <c r="K29" s="51" t="n"/>
      <c r="L29" s="51" t="n"/>
      <c r="M29" s="51" t="n"/>
      <c r="N29" s="51" t="n"/>
      <c r="O29" s="51">
        <f>IF(L29="","",IF(N29&lt;&gt;"",N29-L29,TODAY()-L29))</f>
        <v/>
      </c>
      <c r="P29" s="51" t="n"/>
    </row>
    <row r="30" ht="15" customHeight="1" s="29">
      <c r="A30" s="50" t="inlineStr">
        <is>
          <t>R27</t>
        </is>
      </c>
      <c r="B30" s="50" t="n"/>
      <c r="C30" s="50" t="n"/>
      <c r="D30" s="50" t="n"/>
      <c r="E30" s="50" t="n"/>
      <c r="F30" s="50" t="n"/>
      <c r="G30" s="50">
        <f>IF(OR(E30="",F30=""),"",MATCH(E30,{"Low","Medium","High"},0)*MATCH(F30,{"Low","Medium","High"},0))</f>
        <v/>
      </c>
      <c r="H30" s="50" t="n"/>
      <c r="I30" s="50" t="n"/>
      <c r="J30" s="50" t="n"/>
      <c r="K30" s="50" t="n"/>
      <c r="L30" s="50" t="n"/>
      <c r="M30" s="50" t="n"/>
      <c r="N30" s="50" t="n"/>
      <c r="O30" s="50">
        <f>IF(L30="","",IF(N30&lt;&gt;"",N30-L30,TODAY()-L30))</f>
        <v/>
      </c>
      <c r="P30" s="50" t="n"/>
    </row>
    <row r="31" ht="15" customHeight="1" s="29">
      <c r="A31" s="51" t="inlineStr">
        <is>
          <t>R28</t>
        </is>
      </c>
      <c r="B31" s="51" t="n"/>
      <c r="C31" s="51" t="n"/>
      <c r="D31" s="51" t="n"/>
      <c r="E31" s="51" t="n"/>
      <c r="F31" s="51" t="n"/>
      <c r="G31" s="51">
        <f>IF(OR(E31="",F31=""),"",MATCH(E31,{"Low","Medium","High"},0)*MATCH(F31,{"Low","Medium","High"},0))</f>
        <v/>
      </c>
      <c r="H31" s="51" t="n"/>
      <c r="I31" s="51" t="n"/>
      <c r="J31" s="51" t="n"/>
      <c r="K31" s="51" t="n"/>
      <c r="L31" s="51" t="n"/>
      <c r="M31" s="51" t="n"/>
      <c r="N31" s="51" t="n"/>
      <c r="O31" s="51">
        <f>IF(L31="","",IF(N31&lt;&gt;"",N31-L31,TODAY()-L31))</f>
        <v/>
      </c>
      <c r="P31" s="51" t="n"/>
    </row>
    <row r="32" ht="15" customHeight="1" s="29">
      <c r="A32" s="50" t="inlineStr">
        <is>
          <t>R29</t>
        </is>
      </c>
      <c r="B32" s="50" t="n"/>
      <c r="C32" s="50" t="n"/>
      <c r="D32" s="50" t="n"/>
      <c r="E32" s="50" t="n"/>
      <c r="F32" s="50" t="n"/>
      <c r="G32" s="50">
        <f>IF(OR(E32="",F32=""),"",MATCH(E32,{"Low","Medium","High"},0)*MATCH(F32,{"Low","Medium","High"},0))</f>
        <v/>
      </c>
      <c r="H32" s="50" t="n"/>
      <c r="I32" s="50" t="n"/>
      <c r="J32" s="50" t="n"/>
      <c r="K32" s="50" t="n"/>
      <c r="L32" s="50" t="n"/>
      <c r="M32" s="50" t="n"/>
      <c r="N32" s="50" t="n"/>
      <c r="O32" s="50">
        <f>IF(L32="","",IF(N32&lt;&gt;"",N32-L32,TODAY()-L32))</f>
        <v/>
      </c>
      <c r="P32" s="50" t="n"/>
    </row>
    <row r="33" ht="15" customHeight="1" s="29">
      <c r="A33" s="51" t="inlineStr">
        <is>
          <t>R30</t>
        </is>
      </c>
      <c r="B33" s="51" t="n"/>
      <c r="C33" s="51" t="n"/>
      <c r="D33" s="51" t="n"/>
      <c r="E33" s="51" t="n"/>
      <c r="F33" s="51" t="n"/>
      <c r="G33" s="51">
        <f>IF(OR(E33="",F33=""),"",MATCH(E33,{"Low","Medium","High"},0)*MATCH(F33,{"Low","Medium","High"},0))</f>
        <v/>
      </c>
      <c r="H33" s="51" t="n"/>
      <c r="I33" s="51" t="n"/>
      <c r="J33" s="51" t="n"/>
      <c r="K33" s="51" t="n"/>
      <c r="L33" s="51" t="n"/>
      <c r="M33" s="51" t="n"/>
      <c r="N33" s="51" t="n"/>
      <c r="O33" s="51">
        <f>IF(L33="","",IF(N33&lt;&gt;"",N33-L33,TODAY()-L33))</f>
        <v/>
      </c>
      <c r="P33" s="51" t="n"/>
    </row>
    <row r="34" ht="15" customHeight="1" s="29">
      <c r="A34" s="50" t="inlineStr">
        <is>
          <t>R31</t>
        </is>
      </c>
      <c r="B34" s="50" t="n"/>
      <c r="C34" s="50" t="n"/>
      <c r="D34" s="50" t="n"/>
      <c r="E34" s="50" t="n"/>
      <c r="F34" s="50" t="n"/>
      <c r="G34" s="50">
        <f>IF(OR(E34="",F34=""),"",MATCH(E34,{"Low","Medium","High"},0)*MATCH(F34,{"Low","Medium","High"},0))</f>
        <v/>
      </c>
      <c r="H34" s="50" t="n"/>
      <c r="I34" s="50" t="n"/>
      <c r="J34" s="50" t="n"/>
      <c r="K34" s="50" t="n"/>
      <c r="L34" s="50" t="n"/>
      <c r="M34" s="50" t="n"/>
      <c r="N34" s="50" t="n"/>
      <c r="O34" s="50">
        <f>IF(L34="","",IF(N34&lt;&gt;"",N34-L34,TODAY()-L34))</f>
        <v/>
      </c>
      <c r="P34" s="50" t="n"/>
    </row>
    <row r="35" ht="15" customHeight="1" s="29">
      <c r="A35" s="51" t="inlineStr">
        <is>
          <t>R32</t>
        </is>
      </c>
      <c r="B35" s="51" t="n"/>
      <c r="C35" s="51" t="n"/>
      <c r="D35" s="51" t="n"/>
      <c r="E35" s="51" t="n"/>
      <c r="F35" s="51" t="n"/>
      <c r="G35" s="51">
        <f>IF(OR(E35="",F35=""),"",MATCH(E35,{"Low","Medium","High"},0)*MATCH(F35,{"Low","Medium","High"},0))</f>
        <v/>
      </c>
      <c r="H35" s="51" t="n"/>
      <c r="I35" s="51" t="n"/>
      <c r="J35" s="51" t="n"/>
      <c r="K35" s="51" t="n"/>
      <c r="L35" s="51" t="n"/>
      <c r="M35" s="51" t="n"/>
      <c r="N35" s="51" t="n"/>
      <c r="O35" s="51">
        <f>IF(L35="","",IF(N35&lt;&gt;"",N35-L35,TODAY()-L35))</f>
        <v/>
      </c>
      <c r="P35" s="51" t="n"/>
    </row>
    <row r="36" ht="15" customHeight="1" s="29">
      <c r="A36" s="50" t="inlineStr">
        <is>
          <t>R33</t>
        </is>
      </c>
      <c r="B36" s="50" t="n"/>
      <c r="C36" s="50" t="n"/>
      <c r="D36" s="50" t="n"/>
      <c r="E36" s="50" t="n"/>
      <c r="F36" s="50" t="n"/>
      <c r="G36" s="50">
        <f>IF(OR(E36="",F36=""),"",MATCH(E36,{"Low","Medium","High"},0)*MATCH(F36,{"Low","Medium","High"},0))</f>
        <v/>
      </c>
      <c r="H36" s="50" t="n"/>
      <c r="I36" s="50" t="n"/>
      <c r="J36" s="50" t="n"/>
      <c r="K36" s="50" t="n"/>
      <c r="L36" s="50" t="n"/>
      <c r="M36" s="50" t="n"/>
      <c r="N36" s="50" t="n"/>
      <c r="O36" s="50">
        <f>IF(L36="","",IF(N36&lt;&gt;"",N36-L36,TODAY()-L36))</f>
        <v/>
      </c>
      <c r="P36" s="50" t="n"/>
    </row>
    <row r="37" ht="15" customHeight="1" s="29">
      <c r="A37" s="51" t="inlineStr">
        <is>
          <t>R34</t>
        </is>
      </c>
      <c r="B37" s="51" t="n"/>
      <c r="C37" s="51" t="n"/>
      <c r="D37" s="51" t="n"/>
      <c r="E37" s="51" t="n"/>
      <c r="F37" s="51" t="n"/>
      <c r="G37" s="51">
        <f>IF(OR(E37="",F37=""),"",MATCH(E37,{"Low","Medium","High"},0)*MATCH(F37,{"Low","Medium","High"},0))</f>
        <v/>
      </c>
      <c r="H37" s="51" t="n"/>
      <c r="I37" s="51" t="n"/>
      <c r="J37" s="51" t="n"/>
      <c r="K37" s="51" t="n"/>
      <c r="L37" s="51" t="n"/>
      <c r="M37" s="51" t="n"/>
      <c r="N37" s="51" t="n"/>
      <c r="O37" s="51">
        <f>IF(L37="","",IF(N37&lt;&gt;"",N37-L37,TODAY()-L37))</f>
        <v/>
      </c>
      <c r="P37" s="51" t="n"/>
    </row>
    <row r="38" ht="15" customHeight="1" s="29">
      <c r="A38" s="50" t="inlineStr">
        <is>
          <t>R35</t>
        </is>
      </c>
      <c r="B38" s="50" t="n"/>
      <c r="C38" s="50" t="n"/>
      <c r="D38" s="50" t="n"/>
      <c r="E38" s="50" t="n"/>
      <c r="F38" s="50" t="n"/>
      <c r="G38" s="50">
        <f>IF(OR(E38="",F38=""),"",MATCH(E38,{"Low","Medium","High"},0)*MATCH(F38,{"Low","Medium","High"},0))</f>
        <v/>
      </c>
      <c r="H38" s="50" t="n"/>
      <c r="I38" s="50" t="n"/>
      <c r="J38" s="50" t="n"/>
      <c r="K38" s="50" t="n"/>
      <c r="L38" s="50" t="n"/>
      <c r="M38" s="50" t="n"/>
      <c r="N38" s="50" t="n"/>
      <c r="O38" s="50">
        <f>IF(L38="","",IF(N38&lt;&gt;"",N38-L38,TODAY()-L38))</f>
        <v/>
      </c>
      <c r="P38" s="50" t="n"/>
    </row>
    <row r="39" ht="15" customHeight="1" s="29">
      <c r="A39" s="51" t="inlineStr">
        <is>
          <t>R36</t>
        </is>
      </c>
      <c r="B39" s="51" t="n"/>
      <c r="C39" s="51" t="n"/>
      <c r="D39" s="51" t="n"/>
      <c r="E39" s="51" t="n"/>
      <c r="F39" s="51" t="n"/>
      <c r="G39" s="51">
        <f>IF(OR(E39="",F39=""),"",MATCH(E39,{"Low","Medium","High"},0)*MATCH(F39,{"Low","Medium","High"},0))</f>
        <v/>
      </c>
      <c r="H39" s="51" t="n"/>
      <c r="I39" s="51" t="n"/>
      <c r="J39" s="51" t="n"/>
      <c r="K39" s="51" t="n"/>
      <c r="L39" s="51" t="n"/>
      <c r="M39" s="51" t="n"/>
      <c r="N39" s="51" t="n"/>
      <c r="O39" s="51">
        <f>IF(L39="","",IF(N39&lt;&gt;"",N39-L39,TODAY()-L39))</f>
        <v/>
      </c>
      <c r="P39" s="51" t="n"/>
    </row>
    <row r="40" ht="15" customHeight="1" s="29">
      <c r="A40" s="50" t="inlineStr">
        <is>
          <t>R37</t>
        </is>
      </c>
      <c r="B40" s="50" t="n"/>
      <c r="C40" s="50" t="n"/>
      <c r="D40" s="50" t="n"/>
      <c r="E40" s="50" t="n"/>
      <c r="F40" s="50" t="n"/>
      <c r="G40" s="50">
        <f>IF(OR(E40="",F40=""),"",MATCH(E40,{"Low","Medium","High"},0)*MATCH(F40,{"Low","Medium","High"},0))</f>
        <v/>
      </c>
      <c r="H40" s="50" t="n"/>
      <c r="I40" s="50" t="n"/>
      <c r="J40" s="50" t="n"/>
      <c r="K40" s="50" t="n"/>
      <c r="L40" s="50" t="n"/>
      <c r="M40" s="50" t="n"/>
      <c r="N40" s="50" t="n"/>
      <c r="O40" s="50">
        <f>IF(L40="","",IF(N40&lt;&gt;"",N40-L40,TODAY()-L40))</f>
        <v/>
      </c>
      <c r="P40" s="50" t="n"/>
    </row>
    <row r="41" ht="15" customHeight="1" s="29">
      <c r="A41" s="51" t="inlineStr">
        <is>
          <t>R38</t>
        </is>
      </c>
      <c r="B41" s="51" t="n"/>
      <c r="C41" s="51" t="n"/>
      <c r="D41" s="51" t="n"/>
      <c r="E41" s="51" t="n"/>
      <c r="F41" s="51" t="n"/>
      <c r="G41" s="51">
        <f>IF(OR(E41="",F41=""),"",MATCH(E41,{"Low","Medium","High"},0)*MATCH(F41,{"Low","Medium","High"},0))</f>
        <v/>
      </c>
      <c r="H41" s="51" t="n"/>
      <c r="I41" s="51" t="n"/>
      <c r="J41" s="51" t="n"/>
      <c r="K41" s="51" t="n"/>
      <c r="L41" s="51" t="n"/>
      <c r="M41" s="51" t="n"/>
      <c r="N41" s="51" t="n"/>
      <c r="O41" s="51">
        <f>IF(L41="","",IF(N41&lt;&gt;"",N41-L41,TODAY()-L41))</f>
        <v/>
      </c>
      <c r="P41" s="51" t="n"/>
    </row>
    <row r="42" ht="15" customHeight="1" s="29">
      <c r="A42" s="50" t="inlineStr">
        <is>
          <t>R39</t>
        </is>
      </c>
      <c r="B42" s="50" t="n"/>
      <c r="C42" s="50" t="n"/>
      <c r="D42" s="50" t="n"/>
      <c r="E42" s="50" t="n"/>
      <c r="F42" s="50" t="n"/>
      <c r="G42" s="50">
        <f>IF(OR(E42="",F42=""),"",MATCH(E42,{"Low","Medium","High"},0)*MATCH(F42,{"Low","Medium","High"},0))</f>
        <v/>
      </c>
      <c r="H42" s="50" t="n"/>
      <c r="I42" s="50" t="n"/>
      <c r="J42" s="50" t="n"/>
      <c r="K42" s="50" t="n"/>
      <c r="L42" s="50" t="n"/>
      <c r="M42" s="50" t="n"/>
      <c r="N42" s="50" t="n"/>
      <c r="O42" s="50">
        <f>IF(L42="","",IF(N42&lt;&gt;"",N42-L42,TODAY()-L42))</f>
        <v/>
      </c>
      <c r="P42" s="50" t="n"/>
    </row>
    <row r="43" ht="15" customHeight="1" s="29">
      <c r="A43" s="51" t="inlineStr">
        <is>
          <t>R40</t>
        </is>
      </c>
      <c r="B43" s="51" t="n"/>
      <c r="C43" s="51" t="n"/>
      <c r="D43" s="51" t="n"/>
      <c r="E43" s="51" t="n"/>
      <c r="F43" s="51" t="n"/>
      <c r="G43" s="51">
        <f>IF(OR(E43="",F43=""),"",MATCH(E43,{"Low","Medium","High"},0)*MATCH(F43,{"Low","Medium","High"},0))</f>
        <v/>
      </c>
      <c r="H43" s="51" t="n"/>
      <c r="I43" s="51" t="n"/>
      <c r="J43" s="51" t="n"/>
      <c r="K43" s="51" t="n"/>
      <c r="L43" s="51" t="n"/>
      <c r="M43" s="51" t="n"/>
      <c r="N43" s="51" t="n"/>
      <c r="O43" s="51">
        <f>IF(L43="","",IF(N43&lt;&gt;"",N43-L43,TODAY()-L43))</f>
        <v/>
      </c>
      <c r="P43" s="51" t="n"/>
    </row>
    <row r="44" ht="15" customHeight="1" s="29">
      <c r="A44" s="50" t="inlineStr">
        <is>
          <t>R41</t>
        </is>
      </c>
      <c r="B44" s="50" t="n"/>
      <c r="C44" s="50" t="n"/>
      <c r="D44" s="50" t="n"/>
      <c r="E44" s="50" t="n"/>
      <c r="F44" s="50" t="n"/>
      <c r="G44" s="50">
        <f>IF(OR(E44="",F44=""),"",MATCH(E44,{"Low","Medium","High"},0)*MATCH(F44,{"Low","Medium","High"},0))</f>
        <v/>
      </c>
      <c r="H44" s="50" t="n"/>
      <c r="I44" s="50" t="n"/>
      <c r="J44" s="50" t="n"/>
      <c r="K44" s="50" t="n"/>
      <c r="L44" s="50" t="n"/>
      <c r="M44" s="50" t="n"/>
      <c r="N44" s="50" t="n"/>
      <c r="O44" s="50">
        <f>IF(L44="","",IF(N44&lt;&gt;"",N44-L44,TODAY()-L44))</f>
        <v/>
      </c>
      <c r="P44" s="50" t="n"/>
    </row>
    <row r="45" ht="15" customHeight="1" s="29">
      <c r="A45" s="51" t="inlineStr">
        <is>
          <t>R42</t>
        </is>
      </c>
      <c r="B45" s="51" t="n"/>
      <c r="C45" s="51" t="n"/>
      <c r="D45" s="51" t="n"/>
      <c r="E45" s="51" t="n"/>
      <c r="F45" s="51" t="n"/>
      <c r="G45" s="51">
        <f>IF(OR(E45="",F45=""),"",MATCH(E45,{"Low","Medium","High"},0)*MATCH(F45,{"Low","Medium","High"},0))</f>
        <v/>
      </c>
      <c r="H45" s="51" t="n"/>
      <c r="I45" s="51" t="n"/>
      <c r="J45" s="51" t="n"/>
      <c r="K45" s="51" t="n"/>
      <c r="L45" s="51" t="n"/>
      <c r="M45" s="51" t="n"/>
      <c r="N45" s="51" t="n"/>
      <c r="O45" s="51">
        <f>IF(L45="","",IF(N45&lt;&gt;"",N45-L45,TODAY()-L45))</f>
        <v/>
      </c>
      <c r="P45" s="51" t="n"/>
    </row>
    <row r="46" ht="15" customHeight="1" s="29">
      <c r="A46" s="50" t="inlineStr">
        <is>
          <t>R43</t>
        </is>
      </c>
      <c r="B46" s="50" t="n"/>
      <c r="C46" s="50" t="n"/>
      <c r="D46" s="50" t="n"/>
      <c r="E46" s="50" t="n"/>
      <c r="F46" s="50" t="n"/>
      <c r="G46" s="50">
        <f>IF(OR(E46="",F46=""),"",MATCH(E46,{"Low","Medium","High"},0)*MATCH(F46,{"Low","Medium","High"},0))</f>
        <v/>
      </c>
      <c r="H46" s="50" t="n"/>
      <c r="I46" s="50" t="n"/>
      <c r="J46" s="50" t="n"/>
      <c r="K46" s="50" t="n"/>
      <c r="L46" s="50" t="n"/>
      <c r="M46" s="50" t="n"/>
      <c r="N46" s="50" t="n"/>
      <c r="O46" s="50">
        <f>IF(L46="","",IF(N46&lt;&gt;"",N46-L46,TODAY()-L46))</f>
        <v/>
      </c>
      <c r="P46" s="50" t="n"/>
    </row>
    <row r="47" ht="15" customHeight="1" s="29">
      <c r="A47" s="51" t="inlineStr">
        <is>
          <t>R44</t>
        </is>
      </c>
      <c r="B47" s="51" t="n"/>
      <c r="C47" s="51" t="n"/>
      <c r="D47" s="51" t="n"/>
      <c r="E47" s="51" t="n"/>
      <c r="F47" s="51" t="n"/>
      <c r="G47" s="51">
        <f>IF(OR(E47="",F47=""),"",MATCH(E47,{"Low","Medium","High"},0)*MATCH(F47,{"Low","Medium","High"},0))</f>
        <v/>
      </c>
      <c r="H47" s="51" t="n"/>
      <c r="I47" s="51" t="n"/>
      <c r="J47" s="51" t="n"/>
      <c r="K47" s="51" t="n"/>
      <c r="L47" s="51" t="n"/>
      <c r="M47" s="51" t="n"/>
      <c r="N47" s="51" t="n"/>
      <c r="O47" s="51">
        <f>IF(L47="","",IF(N47&lt;&gt;"",N47-L47,TODAY()-L47))</f>
        <v/>
      </c>
      <c r="P47" s="51" t="n"/>
    </row>
    <row r="48" ht="15" customHeight="1" s="29">
      <c r="A48" s="50" t="inlineStr">
        <is>
          <t>R45</t>
        </is>
      </c>
      <c r="B48" s="50" t="n"/>
      <c r="C48" s="50" t="n"/>
      <c r="D48" s="50" t="n"/>
      <c r="E48" s="50" t="n"/>
      <c r="F48" s="50" t="n"/>
      <c r="G48" s="50">
        <f>IF(OR(E48="",F48=""),"",MATCH(E48,{"Low","Medium","High"},0)*MATCH(F48,{"Low","Medium","High"},0))</f>
        <v/>
      </c>
      <c r="H48" s="50" t="n"/>
      <c r="I48" s="50" t="n"/>
      <c r="J48" s="50" t="n"/>
      <c r="K48" s="50" t="n"/>
      <c r="L48" s="50" t="n"/>
      <c r="M48" s="50" t="n"/>
      <c r="N48" s="50" t="n"/>
      <c r="O48" s="50">
        <f>IF(L48="","",IF(N48&lt;&gt;"",N48-L48,TODAY()-L48))</f>
        <v/>
      </c>
      <c r="P48" s="50" t="n"/>
    </row>
    <row r="49" ht="15" customHeight="1" s="29">
      <c r="A49" s="51" t="inlineStr">
        <is>
          <t>R46</t>
        </is>
      </c>
      <c r="B49" s="51" t="n"/>
      <c r="C49" s="51" t="n"/>
      <c r="D49" s="51" t="n"/>
      <c r="E49" s="51" t="n"/>
      <c r="F49" s="51" t="n"/>
      <c r="G49" s="51">
        <f>IF(OR(E49="",F49=""),"",MATCH(E49,{"Low","Medium","High"},0)*MATCH(F49,{"Low","Medium","High"},0))</f>
        <v/>
      </c>
      <c r="H49" s="51" t="n"/>
      <c r="I49" s="51" t="n"/>
      <c r="J49" s="51" t="n"/>
      <c r="K49" s="51" t="n"/>
      <c r="L49" s="51" t="n"/>
      <c r="M49" s="51" t="n"/>
      <c r="N49" s="51" t="n"/>
      <c r="O49" s="51">
        <f>IF(L49="","",IF(N49&lt;&gt;"",N49-L49,TODAY()-L49))</f>
        <v/>
      </c>
      <c r="P49" s="51" t="n"/>
    </row>
    <row r="50" ht="15" customHeight="1" s="29">
      <c r="A50" s="50" t="inlineStr">
        <is>
          <t>R47</t>
        </is>
      </c>
      <c r="B50" s="50" t="n"/>
      <c r="C50" s="50" t="n"/>
      <c r="D50" s="50" t="n"/>
      <c r="E50" s="50" t="n"/>
      <c r="F50" s="50" t="n"/>
      <c r="G50" s="50">
        <f>IF(OR(E50="",F50=""),"",MATCH(E50,{"Low","Medium","High"},0)*MATCH(F50,{"Low","Medium","High"},0))</f>
        <v/>
      </c>
      <c r="H50" s="50" t="n"/>
      <c r="I50" s="50" t="n"/>
      <c r="J50" s="50" t="n"/>
      <c r="K50" s="50" t="n"/>
      <c r="L50" s="50" t="n"/>
      <c r="M50" s="50" t="n"/>
      <c r="N50" s="50" t="n"/>
      <c r="O50" s="50">
        <f>IF(L50="","",IF(N50&lt;&gt;"",N50-L50,TODAY()-L50))</f>
        <v/>
      </c>
      <c r="P50" s="50" t="n"/>
    </row>
    <row r="51" ht="15" customHeight="1" s="29">
      <c r="A51" s="51" t="inlineStr">
        <is>
          <t>R48</t>
        </is>
      </c>
      <c r="B51" s="51" t="n"/>
      <c r="C51" s="51" t="n"/>
      <c r="D51" s="51" t="n"/>
      <c r="E51" s="51" t="n"/>
      <c r="F51" s="51" t="n"/>
      <c r="G51" s="51">
        <f>IF(OR(E51="",F51=""),"",MATCH(E51,{"Low","Medium","High"},0)*MATCH(F51,{"Low","Medium","High"},0))</f>
        <v/>
      </c>
      <c r="H51" s="51" t="n"/>
      <c r="I51" s="51" t="n"/>
      <c r="J51" s="51" t="n"/>
      <c r="K51" s="51" t="n"/>
      <c r="L51" s="51" t="n"/>
      <c r="M51" s="51" t="n"/>
      <c r="N51" s="51" t="n"/>
      <c r="O51" s="51">
        <f>IF(L51="","",IF(N51&lt;&gt;"",N51-L51,TODAY()-L51))</f>
        <v/>
      </c>
      <c r="P51" s="51" t="n"/>
    </row>
    <row r="52" ht="15" customHeight="1" s="29">
      <c r="A52" s="50" t="inlineStr">
        <is>
          <t>R49</t>
        </is>
      </c>
      <c r="B52" s="50" t="n"/>
      <c r="C52" s="50" t="n"/>
      <c r="D52" s="50" t="n"/>
      <c r="E52" s="50" t="n"/>
      <c r="F52" s="50" t="n"/>
      <c r="G52" s="50">
        <f>IF(OR(E52="",F52=""),"",MATCH(E52,{"Low","Medium","High"},0)*MATCH(F52,{"Low","Medium","High"},0))</f>
        <v/>
      </c>
      <c r="H52" s="50" t="n"/>
      <c r="I52" s="50" t="n"/>
      <c r="J52" s="50" t="n"/>
      <c r="K52" s="50" t="n"/>
      <c r="L52" s="50" t="n"/>
      <c r="M52" s="50" t="n"/>
      <c r="N52" s="50" t="n"/>
      <c r="O52" s="50">
        <f>IF(L52="","",IF(N52&lt;&gt;"",N52-L52,TODAY()-L52))</f>
        <v/>
      </c>
      <c r="P52" s="50" t="n"/>
    </row>
    <row r="53" ht="15" customHeight="1" s="29">
      <c r="A53" s="51" t="inlineStr">
        <is>
          <t>R50</t>
        </is>
      </c>
      <c r="B53" s="51" t="n"/>
      <c r="C53" s="51" t="n"/>
      <c r="D53" s="51" t="n"/>
      <c r="E53" s="51" t="n"/>
      <c r="F53" s="51" t="n"/>
      <c r="G53" s="51">
        <f>IF(OR(E53="",F53=""),"",MATCH(E53,{"Low","Medium","High"},0)*MATCH(F53,{"Low","Medium","High"},0))</f>
        <v/>
      </c>
      <c r="H53" s="51" t="n"/>
      <c r="I53" s="51" t="n"/>
      <c r="J53" s="51" t="n"/>
      <c r="K53" s="51" t="n"/>
      <c r="L53" s="51" t="n"/>
      <c r="M53" s="51" t="n"/>
      <c r="N53" s="51" t="n"/>
      <c r="O53" s="51">
        <f>IF(L53="","",IF(N53&lt;&gt;"",N53-L53,TODAY()-L53))</f>
        <v/>
      </c>
      <c r="P53" s="51" t="n"/>
    </row>
    <row r="54" ht="15" customHeight="1" s="29">
      <c r="A54" s="50" t="inlineStr">
        <is>
          <t>R51</t>
        </is>
      </c>
      <c r="B54" s="50" t="n"/>
      <c r="C54" s="50" t="n"/>
      <c r="D54" s="50" t="n"/>
      <c r="E54" s="50" t="n"/>
      <c r="F54" s="50" t="n"/>
      <c r="G54" s="50">
        <f>IF(OR(E54="",F54=""),"",MATCH(E54,{"Low","Medium","High"},0)*MATCH(F54,{"Low","Medium","High"},0))</f>
        <v/>
      </c>
      <c r="H54" s="50" t="n"/>
      <c r="I54" s="50" t="n"/>
      <c r="J54" s="50" t="n"/>
      <c r="K54" s="50" t="n"/>
      <c r="L54" s="50" t="n"/>
      <c r="M54" s="50" t="n"/>
      <c r="N54" s="50" t="n"/>
      <c r="O54" s="50">
        <f>IF(L54="","",IF(N54&lt;&gt;"",N54-L54,TODAY()-L54))</f>
        <v/>
      </c>
      <c r="P54" s="50" t="n"/>
    </row>
    <row r="55" ht="15" customHeight="1" s="29">
      <c r="A55" s="51" t="inlineStr">
        <is>
          <t>R52</t>
        </is>
      </c>
      <c r="B55" s="51" t="n"/>
      <c r="C55" s="51" t="n"/>
      <c r="D55" s="51" t="n"/>
      <c r="E55" s="51" t="n"/>
      <c r="F55" s="51" t="n"/>
      <c r="G55" s="51">
        <f>IF(OR(E55="",F55=""),"",MATCH(E55,{"Low","Medium","High"},0)*MATCH(F55,{"Low","Medium","High"},0))</f>
        <v/>
      </c>
      <c r="H55" s="51" t="n"/>
      <c r="I55" s="51" t="n"/>
      <c r="J55" s="51" t="n"/>
      <c r="K55" s="51" t="n"/>
      <c r="L55" s="51" t="n"/>
      <c r="M55" s="51" t="n"/>
      <c r="N55" s="51" t="n"/>
      <c r="O55" s="51">
        <f>IF(L55="","",IF(N55&lt;&gt;"",N55-L55,TODAY()-L55))</f>
        <v/>
      </c>
      <c r="P55" s="51" t="n"/>
    </row>
    <row r="56" ht="15" customHeight="1" s="29">
      <c r="A56" s="50" t="inlineStr">
        <is>
          <t>R53</t>
        </is>
      </c>
      <c r="B56" s="50" t="n"/>
      <c r="C56" s="50" t="n"/>
      <c r="D56" s="50" t="n"/>
      <c r="E56" s="50" t="n"/>
      <c r="F56" s="50" t="n"/>
      <c r="G56" s="50">
        <f>IF(OR(E56="",F56=""),"",MATCH(E56,{"Low","Medium","High"},0)*MATCH(F56,{"Low","Medium","High"},0))</f>
        <v/>
      </c>
      <c r="H56" s="50" t="n"/>
      <c r="I56" s="50" t="n"/>
      <c r="J56" s="50" t="n"/>
      <c r="K56" s="50" t="n"/>
      <c r="L56" s="50" t="n"/>
      <c r="M56" s="50" t="n"/>
      <c r="N56" s="50" t="n"/>
      <c r="O56" s="50">
        <f>IF(L56="","",IF(N56&lt;&gt;"",N56-L56,TODAY()-L56))</f>
        <v/>
      </c>
      <c r="P56" s="50" t="n"/>
    </row>
    <row r="57" ht="15" customHeight="1" s="29">
      <c r="A57" s="51" t="inlineStr">
        <is>
          <t>R54</t>
        </is>
      </c>
      <c r="B57" s="51" t="n"/>
      <c r="C57" s="51" t="n"/>
      <c r="D57" s="51" t="n"/>
      <c r="E57" s="51" t="n"/>
      <c r="F57" s="51" t="n"/>
      <c r="G57" s="51">
        <f>IF(OR(E57="",F57=""),"",MATCH(E57,{"Low","Medium","High"},0)*MATCH(F57,{"Low","Medium","High"},0))</f>
        <v/>
      </c>
      <c r="H57" s="51" t="n"/>
      <c r="I57" s="51" t="n"/>
      <c r="J57" s="51" t="n"/>
      <c r="K57" s="51" t="n"/>
      <c r="L57" s="51" t="n"/>
      <c r="M57" s="51" t="n"/>
      <c r="N57" s="51" t="n"/>
      <c r="O57" s="51">
        <f>IF(L57="","",IF(N57&lt;&gt;"",N57-L57,TODAY()-L57))</f>
        <v/>
      </c>
      <c r="P57" s="51" t="n"/>
    </row>
    <row r="58" ht="15" customHeight="1" s="29">
      <c r="A58" s="50" t="inlineStr">
        <is>
          <t>R55</t>
        </is>
      </c>
      <c r="B58" s="50" t="n"/>
      <c r="C58" s="50" t="n"/>
      <c r="D58" s="50" t="n"/>
      <c r="E58" s="50" t="n"/>
      <c r="F58" s="50" t="n"/>
      <c r="G58" s="50">
        <f>IF(OR(E58="",F58=""),"",MATCH(E58,{"Low","Medium","High"},0)*MATCH(F58,{"Low","Medium","High"},0))</f>
        <v/>
      </c>
      <c r="H58" s="50" t="n"/>
      <c r="I58" s="50" t="n"/>
      <c r="J58" s="50" t="n"/>
      <c r="K58" s="50" t="n"/>
      <c r="L58" s="50" t="n"/>
      <c r="M58" s="50" t="n"/>
      <c r="N58" s="50" t="n"/>
      <c r="O58" s="50">
        <f>IF(L58="","",IF(N58&lt;&gt;"",N58-L58,TODAY()-L58))</f>
        <v/>
      </c>
      <c r="P58" s="50" t="n"/>
    </row>
    <row r="59" ht="15" customHeight="1" s="29">
      <c r="A59" s="51" t="inlineStr">
        <is>
          <t>R56</t>
        </is>
      </c>
      <c r="B59" s="51" t="n"/>
      <c r="C59" s="51" t="n"/>
      <c r="D59" s="51" t="n"/>
      <c r="E59" s="51" t="n"/>
      <c r="F59" s="51" t="n"/>
      <c r="G59" s="51">
        <f>IF(OR(E59="",F59=""),"",MATCH(E59,{"Low","Medium","High"},0)*MATCH(F59,{"Low","Medium","High"},0))</f>
        <v/>
      </c>
      <c r="H59" s="51" t="n"/>
      <c r="I59" s="51" t="n"/>
      <c r="J59" s="51" t="n"/>
      <c r="K59" s="51" t="n"/>
      <c r="L59" s="51" t="n"/>
      <c r="M59" s="51" t="n"/>
      <c r="N59" s="51" t="n"/>
      <c r="O59" s="51">
        <f>IF(L59="","",IF(N59&lt;&gt;"",N59-L59,TODAY()-L59))</f>
        <v/>
      </c>
      <c r="P59" s="51" t="n"/>
    </row>
    <row r="60" ht="15" customHeight="1" s="29">
      <c r="A60" s="50" t="inlineStr">
        <is>
          <t>R57</t>
        </is>
      </c>
      <c r="B60" s="50" t="n"/>
      <c r="C60" s="50" t="n"/>
      <c r="D60" s="50" t="n"/>
      <c r="E60" s="50" t="n"/>
      <c r="F60" s="50" t="n"/>
      <c r="G60" s="50">
        <f>IF(OR(E60="",F60=""),"",MATCH(E60,{"Low","Medium","High"},0)*MATCH(F60,{"Low","Medium","High"},0))</f>
        <v/>
      </c>
      <c r="H60" s="50" t="n"/>
      <c r="I60" s="50" t="n"/>
      <c r="J60" s="50" t="n"/>
      <c r="K60" s="50" t="n"/>
      <c r="L60" s="50" t="n"/>
      <c r="M60" s="50" t="n"/>
      <c r="N60" s="50" t="n"/>
      <c r="O60" s="50">
        <f>IF(L60="","",IF(N60&lt;&gt;"",N60-L60,TODAY()-L60))</f>
        <v/>
      </c>
      <c r="P60" s="50" t="n"/>
    </row>
    <row r="61" ht="15" customHeight="1" s="29">
      <c r="A61" s="51" t="inlineStr">
        <is>
          <t>R58</t>
        </is>
      </c>
      <c r="B61" s="51" t="n"/>
      <c r="C61" s="51" t="n"/>
      <c r="D61" s="51" t="n"/>
      <c r="E61" s="51" t="n"/>
      <c r="F61" s="51" t="n"/>
      <c r="G61" s="51">
        <f>IF(OR(E61="",F61=""),"",MATCH(E61,{"Low","Medium","High"},0)*MATCH(F61,{"Low","Medium","High"},0))</f>
        <v/>
      </c>
      <c r="H61" s="51" t="n"/>
      <c r="I61" s="51" t="n"/>
      <c r="J61" s="51" t="n"/>
      <c r="K61" s="51" t="n"/>
      <c r="L61" s="51" t="n"/>
      <c r="M61" s="51" t="n"/>
      <c r="N61" s="51" t="n"/>
      <c r="O61" s="51">
        <f>IF(L61="","",IF(N61&lt;&gt;"",N61-L61,TODAY()-L61))</f>
        <v/>
      </c>
      <c r="P61" s="51" t="n"/>
    </row>
    <row r="62" ht="15" customHeight="1" s="29">
      <c r="A62" s="50" t="inlineStr">
        <is>
          <t>R59</t>
        </is>
      </c>
      <c r="B62" s="50" t="n"/>
      <c r="C62" s="50" t="n"/>
      <c r="D62" s="50" t="n"/>
      <c r="E62" s="50" t="n"/>
      <c r="F62" s="50" t="n"/>
      <c r="G62" s="50">
        <f>IF(OR(E62="",F62=""),"",MATCH(E62,{"Low","Medium","High"},0)*MATCH(F62,{"Low","Medium","High"},0))</f>
        <v/>
      </c>
      <c r="H62" s="50" t="n"/>
      <c r="I62" s="50" t="n"/>
      <c r="J62" s="50" t="n"/>
      <c r="K62" s="50" t="n"/>
      <c r="L62" s="50" t="n"/>
      <c r="M62" s="50" t="n"/>
      <c r="N62" s="50" t="n"/>
      <c r="O62" s="50">
        <f>IF(L62="","",IF(N62&lt;&gt;"",N62-L62,TODAY()-L62))</f>
        <v/>
      </c>
      <c r="P62" s="50" t="n"/>
    </row>
    <row r="63" ht="15" customHeight="1" s="29">
      <c r="A63" s="51" t="inlineStr">
        <is>
          <t>R60</t>
        </is>
      </c>
      <c r="B63" s="51" t="n"/>
      <c r="C63" s="51" t="n"/>
      <c r="D63" s="51" t="n"/>
      <c r="E63" s="51" t="n"/>
      <c r="F63" s="51" t="n"/>
      <c r="G63" s="51">
        <f>IF(OR(E63="",F63=""),"",MATCH(E63,{"Low","Medium","High"},0)*MATCH(F63,{"Low","Medium","High"},0))</f>
        <v/>
      </c>
      <c r="H63" s="51" t="n"/>
      <c r="I63" s="51" t="n"/>
      <c r="J63" s="51" t="n"/>
      <c r="K63" s="51" t="n"/>
      <c r="L63" s="51" t="n"/>
      <c r="M63" s="51" t="n"/>
      <c r="N63" s="51" t="n"/>
      <c r="O63" s="51">
        <f>IF(L63="","",IF(N63&lt;&gt;"",N63-L63,TODAY()-L63))</f>
        <v/>
      </c>
      <c r="P63" s="51" t="n"/>
    </row>
    <row r="64" ht="15" customHeight="1" s="29">
      <c r="A64" s="50" t="inlineStr">
        <is>
          <t>R61</t>
        </is>
      </c>
      <c r="B64" s="50" t="n"/>
      <c r="C64" s="50" t="n"/>
      <c r="D64" s="50" t="n"/>
      <c r="E64" s="50" t="n"/>
      <c r="F64" s="50" t="n"/>
      <c r="G64" s="50">
        <f>IF(OR(E64="",F64=""),"",MATCH(E64,{"Low","Medium","High"},0)*MATCH(F64,{"Low","Medium","High"},0))</f>
        <v/>
      </c>
      <c r="H64" s="50" t="n"/>
      <c r="I64" s="50" t="n"/>
      <c r="J64" s="50" t="n"/>
      <c r="K64" s="50" t="n"/>
      <c r="L64" s="50" t="n"/>
      <c r="M64" s="50" t="n"/>
      <c r="N64" s="50" t="n"/>
      <c r="O64" s="50">
        <f>IF(L64="","",IF(N64&lt;&gt;"",N64-L64,TODAY()-L64))</f>
        <v/>
      </c>
      <c r="P64" s="50" t="n"/>
    </row>
    <row r="65" ht="15" customHeight="1" s="29">
      <c r="A65" s="51" t="inlineStr">
        <is>
          <t>R62</t>
        </is>
      </c>
      <c r="B65" s="51" t="n"/>
      <c r="C65" s="51" t="n"/>
      <c r="D65" s="51" t="n"/>
      <c r="E65" s="51" t="n"/>
      <c r="F65" s="51" t="n"/>
      <c r="G65" s="51">
        <f>IF(OR(E65="",F65=""),"",MATCH(E65,{"Low","Medium","High"},0)*MATCH(F65,{"Low","Medium","High"},0))</f>
        <v/>
      </c>
      <c r="H65" s="51" t="n"/>
      <c r="I65" s="51" t="n"/>
      <c r="J65" s="51" t="n"/>
      <c r="K65" s="51" t="n"/>
      <c r="L65" s="51" t="n"/>
      <c r="M65" s="51" t="n"/>
      <c r="N65" s="51" t="n"/>
      <c r="O65" s="51">
        <f>IF(L65="","",IF(N65&lt;&gt;"",N65-L65,TODAY()-L65))</f>
        <v/>
      </c>
      <c r="P65" s="51" t="n"/>
    </row>
    <row r="66" ht="15" customHeight="1" s="29">
      <c r="A66" s="50" t="inlineStr">
        <is>
          <t>R63</t>
        </is>
      </c>
      <c r="B66" s="50" t="n"/>
      <c r="C66" s="50" t="n"/>
      <c r="D66" s="50" t="n"/>
      <c r="E66" s="50" t="n"/>
      <c r="F66" s="50" t="n"/>
      <c r="G66" s="50">
        <f>IF(OR(E66="",F66=""),"",MATCH(E66,{"Low","Medium","High"},0)*MATCH(F66,{"Low","Medium","High"},0))</f>
        <v/>
      </c>
      <c r="H66" s="50" t="n"/>
      <c r="I66" s="50" t="n"/>
      <c r="J66" s="50" t="n"/>
      <c r="K66" s="50" t="n"/>
      <c r="L66" s="50" t="n"/>
      <c r="M66" s="50" t="n"/>
      <c r="N66" s="50" t="n"/>
      <c r="O66" s="50">
        <f>IF(L66="","",IF(N66&lt;&gt;"",N66-L66,TODAY()-L66))</f>
        <v/>
      </c>
      <c r="P66" s="50" t="n"/>
    </row>
    <row r="67" ht="15" customHeight="1" s="29">
      <c r="A67" s="51" t="inlineStr">
        <is>
          <t>R64</t>
        </is>
      </c>
      <c r="B67" s="51" t="n"/>
      <c r="C67" s="51" t="n"/>
      <c r="D67" s="51" t="n"/>
      <c r="E67" s="51" t="n"/>
      <c r="F67" s="51" t="n"/>
      <c r="G67" s="51">
        <f>IF(OR(E67="",F67=""),"",MATCH(E67,{"Low","Medium","High"},0)*MATCH(F67,{"Low","Medium","High"},0))</f>
        <v/>
      </c>
      <c r="H67" s="51" t="n"/>
      <c r="I67" s="51" t="n"/>
      <c r="J67" s="51" t="n"/>
      <c r="K67" s="51" t="n"/>
      <c r="L67" s="51" t="n"/>
      <c r="M67" s="51" t="n"/>
      <c r="N67" s="51" t="n"/>
      <c r="O67" s="51">
        <f>IF(L67="","",IF(N67&lt;&gt;"",N67-L67,TODAY()-L67))</f>
        <v/>
      </c>
      <c r="P67" s="51" t="n"/>
    </row>
    <row r="68" ht="15" customHeight="1" s="29">
      <c r="A68" s="50" t="inlineStr">
        <is>
          <t>R65</t>
        </is>
      </c>
      <c r="B68" s="50" t="n"/>
      <c r="C68" s="50" t="n"/>
      <c r="D68" s="50" t="n"/>
      <c r="E68" s="50" t="n"/>
      <c r="F68" s="50" t="n"/>
      <c r="G68" s="50">
        <f>IF(OR(E68="",F68=""),"",MATCH(E68,{"Low","Medium","High"},0)*MATCH(F68,{"Low","Medium","High"},0))</f>
        <v/>
      </c>
      <c r="H68" s="50" t="n"/>
      <c r="I68" s="50" t="n"/>
      <c r="J68" s="50" t="n"/>
      <c r="K68" s="50" t="n"/>
      <c r="L68" s="50" t="n"/>
      <c r="M68" s="50" t="n"/>
      <c r="N68" s="50" t="n"/>
      <c r="O68" s="50">
        <f>IF(L68="","",IF(N68&lt;&gt;"",N68-L68,TODAY()-L68))</f>
        <v/>
      </c>
      <c r="P68" s="50" t="n"/>
    </row>
    <row r="69" ht="15" customHeight="1" s="29">
      <c r="A69" s="51" t="inlineStr">
        <is>
          <t>R66</t>
        </is>
      </c>
      <c r="B69" s="51" t="n"/>
      <c r="C69" s="51" t="n"/>
      <c r="D69" s="51" t="n"/>
      <c r="E69" s="51" t="n"/>
      <c r="F69" s="51" t="n"/>
      <c r="G69" s="51">
        <f>IF(OR(E69="",F69=""),"",MATCH(E69,{"Low","Medium","High"},0)*MATCH(F69,{"Low","Medium","High"},0))</f>
        <v/>
      </c>
      <c r="H69" s="51" t="n"/>
      <c r="I69" s="51" t="n"/>
      <c r="J69" s="51" t="n"/>
      <c r="K69" s="51" t="n"/>
      <c r="L69" s="51" t="n"/>
      <c r="M69" s="51" t="n"/>
      <c r="N69" s="51" t="n"/>
      <c r="O69" s="51">
        <f>IF(L69="","",IF(N69&lt;&gt;"",N69-L69,TODAY()-L69))</f>
        <v/>
      </c>
      <c r="P69" s="51" t="n"/>
    </row>
    <row r="70" ht="15" customHeight="1" s="29">
      <c r="A70" s="50" t="inlineStr">
        <is>
          <t>R67</t>
        </is>
      </c>
      <c r="B70" s="50" t="n"/>
      <c r="C70" s="50" t="n"/>
      <c r="D70" s="50" t="n"/>
      <c r="E70" s="50" t="n"/>
      <c r="F70" s="50" t="n"/>
      <c r="G70" s="50">
        <f>IF(OR(E70="",F70=""),"",MATCH(E70,{"Low","Medium","High"},0)*MATCH(F70,{"Low","Medium","High"},0))</f>
        <v/>
      </c>
      <c r="H70" s="50" t="n"/>
      <c r="I70" s="50" t="n"/>
      <c r="J70" s="50" t="n"/>
      <c r="K70" s="50" t="n"/>
      <c r="L70" s="50" t="n"/>
      <c r="M70" s="50" t="n"/>
      <c r="N70" s="50" t="n"/>
      <c r="O70" s="50">
        <f>IF(L70="","",IF(N70&lt;&gt;"",N70-L70,TODAY()-L70))</f>
        <v/>
      </c>
      <c r="P70" s="50" t="n"/>
    </row>
    <row r="71" ht="15" customHeight="1" s="29">
      <c r="A71" s="51" t="inlineStr">
        <is>
          <t>R68</t>
        </is>
      </c>
      <c r="B71" s="51" t="n"/>
      <c r="C71" s="51" t="n"/>
      <c r="D71" s="51" t="n"/>
      <c r="E71" s="51" t="n"/>
      <c r="F71" s="51" t="n"/>
      <c r="G71" s="51">
        <f>IF(OR(E71="",F71=""),"",MATCH(E71,{"Low","Medium","High"},0)*MATCH(F71,{"Low","Medium","High"},0))</f>
        <v/>
      </c>
      <c r="H71" s="51" t="n"/>
      <c r="I71" s="51" t="n"/>
      <c r="J71" s="51" t="n"/>
      <c r="K71" s="51" t="n"/>
      <c r="L71" s="51" t="n"/>
      <c r="M71" s="51" t="n"/>
      <c r="N71" s="51" t="n"/>
      <c r="O71" s="51">
        <f>IF(L71="","",IF(N71&lt;&gt;"",N71-L71,TODAY()-L71))</f>
        <v/>
      </c>
      <c r="P71" s="51" t="n"/>
    </row>
    <row r="72" ht="15" customHeight="1" s="29">
      <c r="A72" s="50" t="inlineStr">
        <is>
          <t>R69</t>
        </is>
      </c>
      <c r="B72" s="50" t="n"/>
      <c r="C72" s="50" t="n"/>
      <c r="D72" s="50" t="n"/>
      <c r="E72" s="50" t="n"/>
      <c r="F72" s="50" t="n"/>
      <c r="G72" s="50">
        <f>IF(OR(E72="",F72=""),"",MATCH(E72,{"Low","Medium","High"},0)*MATCH(F72,{"Low","Medium","High"},0))</f>
        <v/>
      </c>
      <c r="H72" s="50" t="n"/>
      <c r="I72" s="50" t="n"/>
      <c r="J72" s="50" t="n"/>
      <c r="K72" s="50" t="n"/>
      <c r="L72" s="50" t="n"/>
      <c r="M72" s="50" t="n"/>
      <c r="N72" s="50" t="n"/>
      <c r="O72" s="50">
        <f>IF(L72="","",IF(N72&lt;&gt;"",N72-L72,TODAY()-L72))</f>
        <v/>
      </c>
      <c r="P72" s="50" t="n"/>
    </row>
    <row r="73" ht="15" customHeight="1" s="29">
      <c r="A73" s="51" t="inlineStr">
        <is>
          <t>R70</t>
        </is>
      </c>
      <c r="B73" s="51" t="n"/>
      <c r="C73" s="51" t="n"/>
      <c r="D73" s="51" t="n"/>
      <c r="E73" s="51" t="n"/>
      <c r="F73" s="51" t="n"/>
      <c r="G73" s="51">
        <f>IF(OR(E73="",F73=""),"",MATCH(E73,{"Low","Medium","High"},0)*MATCH(F73,{"Low","Medium","High"},0))</f>
        <v/>
      </c>
      <c r="H73" s="51" t="n"/>
      <c r="I73" s="51" t="n"/>
      <c r="J73" s="51" t="n"/>
      <c r="K73" s="51" t="n"/>
      <c r="L73" s="51" t="n"/>
      <c r="M73" s="51" t="n"/>
      <c r="N73" s="51" t="n"/>
      <c r="O73" s="51">
        <f>IF(L73="","",IF(N73&lt;&gt;"",N73-L73,TODAY()-L73))</f>
        <v/>
      </c>
      <c r="P73" s="51" t="n"/>
    </row>
    <row r="74" ht="15" customHeight="1" s="29">
      <c r="A74" s="50" t="inlineStr">
        <is>
          <t>R71</t>
        </is>
      </c>
      <c r="B74" s="50" t="n"/>
      <c r="C74" s="50" t="n"/>
      <c r="D74" s="50" t="n"/>
      <c r="E74" s="50" t="n"/>
      <c r="F74" s="50" t="n"/>
      <c r="G74" s="50">
        <f>IF(OR(E74="",F74=""),"",MATCH(E74,{"Low","Medium","High"},0)*MATCH(F74,{"Low","Medium","High"},0))</f>
        <v/>
      </c>
      <c r="H74" s="50" t="n"/>
      <c r="I74" s="50" t="n"/>
      <c r="J74" s="50" t="n"/>
      <c r="K74" s="50" t="n"/>
      <c r="L74" s="50" t="n"/>
      <c r="M74" s="50" t="n"/>
      <c r="N74" s="50" t="n"/>
      <c r="O74" s="50">
        <f>IF(L74="","",IF(N74&lt;&gt;"",N74-L74,TODAY()-L74))</f>
        <v/>
      </c>
      <c r="P74" s="50" t="n"/>
    </row>
    <row r="75" ht="15" customHeight="1" s="29">
      <c r="A75" s="51" t="inlineStr">
        <is>
          <t>R72</t>
        </is>
      </c>
      <c r="B75" s="51" t="n"/>
      <c r="C75" s="51" t="n"/>
      <c r="D75" s="51" t="n"/>
      <c r="E75" s="51" t="n"/>
      <c r="F75" s="51" t="n"/>
      <c r="G75" s="51">
        <f>IF(OR(E75="",F75=""),"",MATCH(E75,{"Low","Medium","High"},0)*MATCH(F75,{"Low","Medium","High"},0))</f>
        <v/>
      </c>
      <c r="H75" s="51" t="n"/>
      <c r="I75" s="51" t="n"/>
      <c r="J75" s="51" t="n"/>
      <c r="K75" s="51" t="n"/>
      <c r="L75" s="51" t="n"/>
      <c r="M75" s="51" t="n"/>
      <c r="N75" s="51" t="n"/>
      <c r="O75" s="51">
        <f>IF(L75="","",IF(N75&lt;&gt;"",N75-L75,TODAY()-L75))</f>
        <v/>
      </c>
      <c r="P75" s="51" t="n"/>
    </row>
    <row r="76" ht="15" customHeight="1" s="29">
      <c r="A76" s="50" t="inlineStr">
        <is>
          <t>R73</t>
        </is>
      </c>
      <c r="B76" s="50" t="n"/>
      <c r="C76" s="50" t="n"/>
      <c r="D76" s="50" t="n"/>
      <c r="E76" s="50" t="n"/>
      <c r="F76" s="50" t="n"/>
      <c r="G76" s="50">
        <f>IF(OR(E76="",F76=""),"",MATCH(E76,{"Low","Medium","High"},0)*MATCH(F76,{"Low","Medium","High"},0))</f>
        <v/>
      </c>
      <c r="H76" s="50" t="n"/>
      <c r="I76" s="50" t="n"/>
      <c r="J76" s="50" t="n"/>
      <c r="K76" s="50" t="n"/>
      <c r="L76" s="50" t="n"/>
      <c r="M76" s="50" t="n"/>
      <c r="N76" s="50" t="n"/>
      <c r="O76" s="50">
        <f>IF(L76="","",IF(N76&lt;&gt;"",N76-L76,TODAY()-L76))</f>
        <v/>
      </c>
      <c r="P76" s="50" t="n"/>
    </row>
    <row r="77" ht="15" customHeight="1" s="29">
      <c r="A77" s="51" t="inlineStr">
        <is>
          <t>R74</t>
        </is>
      </c>
      <c r="B77" s="51" t="n"/>
      <c r="C77" s="51" t="n"/>
      <c r="D77" s="51" t="n"/>
      <c r="E77" s="51" t="n"/>
      <c r="F77" s="51" t="n"/>
      <c r="G77" s="51">
        <f>IF(OR(E77="",F77=""),"",MATCH(E77,{"Low","Medium","High"},0)*MATCH(F77,{"Low","Medium","High"},0))</f>
        <v/>
      </c>
      <c r="H77" s="51" t="n"/>
      <c r="I77" s="51" t="n"/>
      <c r="J77" s="51" t="n"/>
      <c r="K77" s="51" t="n"/>
      <c r="L77" s="51" t="n"/>
      <c r="M77" s="51" t="n"/>
      <c r="N77" s="51" t="n"/>
      <c r="O77" s="51">
        <f>IF(L77="","",IF(N77&lt;&gt;"",N77-L77,TODAY()-L77))</f>
        <v/>
      </c>
      <c r="P77" s="51" t="n"/>
    </row>
    <row r="78" ht="15" customHeight="1" s="29">
      <c r="A78" s="50" t="inlineStr">
        <is>
          <t>R75</t>
        </is>
      </c>
      <c r="B78" s="50" t="n"/>
      <c r="C78" s="50" t="n"/>
      <c r="D78" s="50" t="n"/>
      <c r="E78" s="50" t="n"/>
      <c r="F78" s="50" t="n"/>
      <c r="G78" s="50">
        <f>IF(OR(E78="",F78=""),"",MATCH(E78,{"Low","Medium","High"},0)*MATCH(F78,{"Low","Medium","High"},0))</f>
        <v/>
      </c>
      <c r="H78" s="50" t="n"/>
      <c r="I78" s="50" t="n"/>
      <c r="J78" s="50" t="n"/>
      <c r="K78" s="50" t="n"/>
      <c r="L78" s="50" t="n"/>
      <c r="M78" s="50" t="n"/>
      <c r="N78" s="50" t="n"/>
      <c r="O78" s="50">
        <f>IF(L78="","",IF(N78&lt;&gt;"",N78-L78,TODAY()-L78))</f>
        <v/>
      </c>
      <c r="P78" s="50" t="n"/>
    </row>
    <row r="79" ht="15" customHeight="1" s="29">
      <c r="A79" s="51" t="inlineStr">
        <is>
          <t>R76</t>
        </is>
      </c>
      <c r="B79" s="51" t="n"/>
      <c r="C79" s="51" t="n"/>
      <c r="D79" s="51" t="n"/>
      <c r="E79" s="51" t="n"/>
      <c r="F79" s="51" t="n"/>
      <c r="G79" s="51">
        <f>IF(OR(E79="",F79=""),"",MATCH(E79,{"Low","Medium","High"},0)*MATCH(F79,{"Low","Medium","High"},0))</f>
        <v/>
      </c>
      <c r="H79" s="51" t="n"/>
      <c r="I79" s="51" t="n"/>
      <c r="J79" s="51" t="n"/>
      <c r="K79" s="51" t="n"/>
      <c r="L79" s="51" t="n"/>
      <c r="M79" s="51" t="n"/>
      <c r="N79" s="51" t="n"/>
      <c r="O79" s="51">
        <f>IF(L79="","",IF(N79&lt;&gt;"",N79-L79,TODAY()-L79))</f>
        <v/>
      </c>
      <c r="P79" s="51" t="n"/>
    </row>
    <row r="80" ht="15" customHeight="1" s="29">
      <c r="A80" s="50" t="inlineStr">
        <is>
          <t>R77</t>
        </is>
      </c>
      <c r="B80" s="50" t="n"/>
      <c r="C80" s="50" t="n"/>
      <c r="D80" s="50" t="n"/>
      <c r="E80" s="50" t="n"/>
      <c r="F80" s="50" t="n"/>
      <c r="G80" s="50">
        <f>IF(OR(E80="",F80=""),"",MATCH(E80,{"Low","Medium","High"},0)*MATCH(F80,{"Low","Medium","High"},0))</f>
        <v/>
      </c>
      <c r="H80" s="50" t="n"/>
      <c r="I80" s="50" t="n"/>
      <c r="J80" s="50" t="n"/>
      <c r="K80" s="50" t="n"/>
      <c r="L80" s="50" t="n"/>
      <c r="M80" s="50" t="n"/>
      <c r="N80" s="50" t="n"/>
      <c r="O80" s="50">
        <f>IF(L80="","",IF(N80&lt;&gt;"",N80-L80,TODAY()-L80))</f>
        <v/>
      </c>
      <c r="P80" s="50" t="n"/>
    </row>
    <row r="81" ht="15" customHeight="1" s="29">
      <c r="A81" s="51" t="inlineStr">
        <is>
          <t>R78</t>
        </is>
      </c>
      <c r="B81" s="51" t="n"/>
      <c r="C81" s="51" t="n"/>
      <c r="D81" s="51" t="n"/>
      <c r="E81" s="51" t="n"/>
      <c r="F81" s="51" t="n"/>
      <c r="G81" s="51">
        <f>IF(OR(E81="",F81=""),"",MATCH(E81,{"Low","Medium","High"},0)*MATCH(F81,{"Low","Medium","High"},0))</f>
        <v/>
      </c>
      <c r="H81" s="51" t="n"/>
      <c r="I81" s="51" t="n"/>
      <c r="J81" s="51" t="n"/>
      <c r="K81" s="51" t="n"/>
      <c r="L81" s="51" t="n"/>
      <c r="M81" s="51" t="n"/>
      <c r="N81" s="51" t="n"/>
      <c r="O81" s="51">
        <f>IF(L81="","",IF(N81&lt;&gt;"",N81-L81,TODAY()-L81))</f>
        <v/>
      </c>
      <c r="P81" s="51" t="n"/>
    </row>
    <row r="82" ht="15" customHeight="1" s="29">
      <c r="A82" s="50" t="inlineStr">
        <is>
          <t>R79</t>
        </is>
      </c>
      <c r="B82" s="50" t="n"/>
      <c r="C82" s="50" t="n"/>
      <c r="D82" s="50" t="n"/>
      <c r="E82" s="50" t="n"/>
      <c r="F82" s="50" t="n"/>
      <c r="G82" s="50">
        <f>IF(OR(E82="",F82=""),"",MATCH(E82,{"Low","Medium","High"},0)*MATCH(F82,{"Low","Medium","High"},0))</f>
        <v/>
      </c>
      <c r="H82" s="50" t="n"/>
      <c r="I82" s="50" t="n"/>
      <c r="J82" s="50" t="n"/>
      <c r="K82" s="50" t="n"/>
      <c r="L82" s="50" t="n"/>
      <c r="M82" s="50" t="n"/>
      <c r="N82" s="50" t="n"/>
      <c r="O82" s="50">
        <f>IF(L82="","",IF(N82&lt;&gt;"",N82-L82,TODAY()-L82))</f>
        <v/>
      </c>
      <c r="P82" s="50" t="n"/>
    </row>
    <row r="83" ht="15" customHeight="1" s="29">
      <c r="A83" s="51" t="inlineStr">
        <is>
          <t>R80</t>
        </is>
      </c>
      <c r="B83" s="51" t="n"/>
      <c r="C83" s="51" t="n"/>
      <c r="D83" s="51" t="n"/>
      <c r="E83" s="51" t="n"/>
      <c r="F83" s="51" t="n"/>
      <c r="G83" s="51">
        <f>IF(OR(E83="",F83=""),"",MATCH(E83,{"Low","Medium","High"},0)*MATCH(F83,{"Low","Medium","High"},0))</f>
        <v/>
      </c>
      <c r="H83" s="51" t="n"/>
      <c r="I83" s="51" t="n"/>
      <c r="J83" s="51" t="n"/>
      <c r="K83" s="51" t="n"/>
      <c r="L83" s="51" t="n"/>
      <c r="M83" s="51" t="n"/>
      <c r="N83" s="51" t="n"/>
      <c r="O83" s="51">
        <f>IF(L83="","",IF(N83&lt;&gt;"",N83-L83,TODAY()-L83))</f>
        <v/>
      </c>
      <c r="P83" s="51" t="n"/>
    </row>
    <row r="84" ht="15" customHeight="1" s="29">
      <c r="A84" s="50" t="inlineStr">
        <is>
          <t>R81</t>
        </is>
      </c>
      <c r="B84" s="50" t="n"/>
      <c r="C84" s="50" t="n"/>
      <c r="D84" s="50" t="n"/>
      <c r="E84" s="50" t="n"/>
      <c r="F84" s="50" t="n"/>
      <c r="G84" s="50">
        <f>IF(OR(E84="",F84=""),"",MATCH(E84,{"Low","Medium","High"},0)*MATCH(F84,{"Low","Medium","High"},0))</f>
        <v/>
      </c>
      <c r="H84" s="50" t="n"/>
      <c r="I84" s="50" t="n"/>
      <c r="J84" s="50" t="n"/>
      <c r="K84" s="50" t="n"/>
      <c r="L84" s="50" t="n"/>
      <c r="M84" s="50" t="n"/>
      <c r="N84" s="50" t="n"/>
      <c r="O84" s="50">
        <f>IF(L84="","",IF(N84&lt;&gt;"",N84-L84,TODAY()-L84))</f>
        <v/>
      </c>
      <c r="P84" s="50" t="n"/>
    </row>
    <row r="85" ht="15" customHeight="1" s="29">
      <c r="A85" s="51" t="inlineStr">
        <is>
          <t>R82</t>
        </is>
      </c>
      <c r="B85" s="51" t="n"/>
      <c r="C85" s="51" t="n"/>
      <c r="D85" s="51" t="n"/>
      <c r="E85" s="51" t="n"/>
      <c r="F85" s="51" t="n"/>
      <c r="G85" s="51">
        <f>IF(OR(E85="",F85=""),"",MATCH(E85,{"Low","Medium","High"},0)*MATCH(F85,{"Low","Medium","High"},0))</f>
        <v/>
      </c>
      <c r="H85" s="51" t="n"/>
      <c r="I85" s="51" t="n"/>
      <c r="J85" s="51" t="n"/>
      <c r="K85" s="51" t="n"/>
      <c r="L85" s="51" t="n"/>
      <c r="M85" s="51" t="n"/>
      <c r="N85" s="51" t="n"/>
      <c r="O85" s="51">
        <f>IF(L85="","",IF(N85&lt;&gt;"",N85-L85,TODAY()-L85))</f>
        <v/>
      </c>
      <c r="P85" s="51" t="n"/>
    </row>
    <row r="86" ht="15" customHeight="1" s="29">
      <c r="A86" s="50" t="inlineStr">
        <is>
          <t>R83</t>
        </is>
      </c>
      <c r="B86" s="50" t="n"/>
      <c r="C86" s="50" t="n"/>
      <c r="D86" s="50" t="n"/>
      <c r="E86" s="50" t="n"/>
      <c r="F86" s="50" t="n"/>
      <c r="G86" s="50">
        <f>IF(OR(E86="",F86=""),"",MATCH(E86,{"Low","Medium","High"},0)*MATCH(F86,{"Low","Medium","High"},0))</f>
        <v/>
      </c>
      <c r="H86" s="50" t="n"/>
      <c r="I86" s="50" t="n"/>
      <c r="J86" s="50" t="n"/>
      <c r="K86" s="50" t="n"/>
      <c r="L86" s="50" t="n"/>
      <c r="M86" s="50" t="n"/>
      <c r="N86" s="50" t="n"/>
      <c r="O86" s="50">
        <f>IF(L86="","",IF(N86&lt;&gt;"",N86-L86,TODAY()-L86))</f>
        <v/>
      </c>
      <c r="P86" s="50" t="n"/>
    </row>
    <row r="87" ht="15" customHeight="1" s="29">
      <c r="A87" s="51" t="inlineStr">
        <is>
          <t>R84</t>
        </is>
      </c>
      <c r="B87" s="51" t="n"/>
      <c r="C87" s="51" t="n"/>
      <c r="D87" s="51" t="n"/>
      <c r="E87" s="51" t="n"/>
      <c r="F87" s="51" t="n"/>
      <c r="G87" s="51">
        <f>IF(OR(E87="",F87=""),"",MATCH(E87,{"Low","Medium","High"},0)*MATCH(F87,{"Low","Medium","High"},0))</f>
        <v/>
      </c>
      <c r="H87" s="51" t="n"/>
      <c r="I87" s="51" t="n"/>
      <c r="J87" s="51" t="n"/>
      <c r="K87" s="51" t="n"/>
      <c r="L87" s="51" t="n"/>
      <c r="M87" s="51" t="n"/>
      <c r="N87" s="51" t="n"/>
      <c r="O87" s="51">
        <f>IF(L87="","",IF(N87&lt;&gt;"",N87-L87,TODAY()-L87))</f>
        <v/>
      </c>
      <c r="P87" s="51" t="n"/>
    </row>
    <row r="88" ht="15" customHeight="1" s="29">
      <c r="A88" s="50" t="inlineStr">
        <is>
          <t>R85</t>
        </is>
      </c>
      <c r="B88" s="50" t="n"/>
      <c r="C88" s="50" t="n"/>
      <c r="D88" s="50" t="n"/>
      <c r="E88" s="50" t="n"/>
      <c r="F88" s="50" t="n"/>
      <c r="G88" s="50">
        <f>IF(OR(E88="",F88=""),"",MATCH(E88,{"Low","Medium","High"},0)*MATCH(F88,{"Low","Medium","High"},0))</f>
        <v/>
      </c>
      <c r="H88" s="50" t="n"/>
      <c r="I88" s="50" t="n"/>
      <c r="J88" s="50" t="n"/>
      <c r="K88" s="50" t="n"/>
      <c r="L88" s="50" t="n"/>
      <c r="M88" s="50" t="n"/>
      <c r="N88" s="50" t="n"/>
      <c r="O88" s="50">
        <f>IF(L88="","",IF(N88&lt;&gt;"",N88-L88,TODAY()-L88))</f>
        <v/>
      </c>
      <c r="P88" s="50" t="n"/>
    </row>
    <row r="89" ht="15" customHeight="1" s="29">
      <c r="A89" s="51" t="inlineStr">
        <is>
          <t>R86</t>
        </is>
      </c>
      <c r="B89" s="51" t="n"/>
      <c r="C89" s="51" t="n"/>
      <c r="D89" s="51" t="n"/>
      <c r="E89" s="51" t="n"/>
      <c r="F89" s="51" t="n"/>
      <c r="G89" s="51">
        <f>IF(OR(E89="",F89=""),"",MATCH(E89,{"Low","Medium","High"},0)*MATCH(F89,{"Low","Medium","High"},0))</f>
        <v/>
      </c>
      <c r="H89" s="51" t="n"/>
      <c r="I89" s="51" t="n"/>
      <c r="J89" s="51" t="n"/>
      <c r="K89" s="51" t="n"/>
      <c r="L89" s="51" t="n"/>
      <c r="M89" s="51" t="n"/>
      <c r="N89" s="51" t="n"/>
      <c r="O89" s="51">
        <f>IF(L89="","",IF(N89&lt;&gt;"",N89-L89,TODAY()-L89))</f>
        <v/>
      </c>
      <c r="P89" s="51" t="n"/>
    </row>
    <row r="90" ht="15" customHeight="1" s="29">
      <c r="A90" s="50" t="inlineStr">
        <is>
          <t>R87</t>
        </is>
      </c>
      <c r="B90" s="50" t="n"/>
      <c r="C90" s="50" t="n"/>
      <c r="D90" s="50" t="n"/>
      <c r="E90" s="50" t="n"/>
      <c r="F90" s="50" t="n"/>
      <c r="G90" s="50">
        <f>IF(OR(E90="",F90=""),"",MATCH(E90,{"Low","Medium","High"},0)*MATCH(F90,{"Low","Medium","High"},0))</f>
        <v/>
      </c>
      <c r="H90" s="50" t="n"/>
      <c r="I90" s="50" t="n"/>
      <c r="J90" s="50" t="n"/>
      <c r="K90" s="50" t="n"/>
      <c r="L90" s="50" t="n"/>
      <c r="M90" s="50" t="n"/>
      <c r="N90" s="50" t="n"/>
      <c r="O90" s="50">
        <f>IF(L90="","",IF(N90&lt;&gt;"",N90-L90,TODAY()-L90))</f>
        <v/>
      </c>
      <c r="P90" s="50" t="n"/>
    </row>
    <row r="91" ht="15" customHeight="1" s="29">
      <c r="A91" s="51" t="inlineStr">
        <is>
          <t>R88</t>
        </is>
      </c>
      <c r="B91" s="51" t="n"/>
      <c r="C91" s="51" t="n"/>
      <c r="D91" s="51" t="n"/>
      <c r="E91" s="51" t="n"/>
      <c r="F91" s="51" t="n"/>
      <c r="G91" s="51">
        <f>IF(OR(E91="",F91=""),"",MATCH(E91,{"Low","Medium","High"},0)*MATCH(F91,{"Low","Medium","High"},0))</f>
        <v/>
      </c>
      <c r="H91" s="51" t="n"/>
      <c r="I91" s="51" t="n"/>
      <c r="J91" s="51" t="n"/>
      <c r="K91" s="51" t="n"/>
      <c r="L91" s="51" t="n"/>
      <c r="M91" s="51" t="n"/>
      <c r="N91" s="51" t="n"/>
      <c r="O91" s="51">
        <f>IF(L91="","",IF(N91&lt;&gt;"",N91-L91,TODAY()-L91))</f>
        <v/>
      </c>
      <c r="P91" s="51" t="n"/>
    </row>
    <row r="92" ht="15" customHeight="1" s="29">
      <c r="A92" s="50" t="inlineStr">
        <is>
          <t>R89</t>
        </is>
      </c>
      <c r="B92" s="50" t="n"/>
      <c r="C92" s="50" t="n"/>
      <c r="D92" s="50" t="n"/>
      <c r="E92" s="50" t="n"/>
      <c r="F92" s="50" t="n"/>
      <c r="G92" s="50">
        <f>IF(OR(E92="",F92=""),"",MATCH(E92,{"Low","Medium","High"},0)*MATCH(F92,{"Low","Medium","High"},0))</f>
        <v/>
      </c>
      <c r="H92" s="50" t="n"/>
      <c r="I92" s="50" t="n"/>
      <c r="J92" s="50" t="n"/>
      <c r="K92" s="50" t="n"/>
      <c r="L92" s="50" t="n"/>
      <c r="M92" s="50" t="n"/>
      <c r="N92" s="50" t="n"/>
      <c r="O92" s="50">
        <f>IF(L92="","",IF(N92&lt;&gt;"",N92-L92,TODAY()-L92))</f>
        <v/>
      </c>
      <c r="P92" s="50" t="n"/>
    </row>
    <row r="93" ht="15" customHeight="1" s="29">
      <c r="A93" s="51" t="inlineStr">
        <is>
          <t>R90</t>
        </is>
      </c>
      <c r="B93" s="51" t="n"/>
      <c r="C93" s="51" t="n"/>
      <c r="D93" s="51" t="n"/>
      <c r="E93" s="51" t="n"/>
      <c r="F93" s="51" t="n"/>
      <c r="G93" s="51">
        <f>IF(OR(E93="",F93=""),"",MATCH(E93,{"Low","Medium","High"},0)*MATCH(F93,{"Low","Medium","High"},0))</f>
        <v/>
      </c>
      <c r="H93" s="51" t="n"/>
      <c r="I93" s="51" t="n"/>
      <c r="J93" s="51" t="n"/>
      <c r="K93" s="51" t="n"/>
      <c r="L93" s="51" t="n"/>
      <c r="M93" s="51" t="n"/>
      <c r="N93" s="51" t="n"/>
      <c r="O93" s="51">
        <f>IF(L93="","",IF(N93&lt;&gt;"",N93-L93,TODAY()-L93))</f>
        <v/>
      </c>
      <c r="P93" s="51" t="n"/>
    </row>
    <row r="94" ht="15" customHeight="1" s="29">
      <c r="A94" s="50" t="inlineStr">
        <is>
          <t>R91</t>
        </is>
      </c>
      <c r="B94" s="50" t="n"/>
      <c r="C94" s="50" t="n"/>
      <c r="D94" s="50" t="n"/>
      <c r="E94" s="50" t="n"/>
      <c r="F94" s="50" t="n"/>
      <c r="G94" s="50">
        <f>IF(OR(E94="",F94=""),"",MATCH(E94,{"Low","Medium","High"},0)*MATCH(F94,{"Low","Medium","High"},0))</f>
        <v/>
      </c>
      <c r="H94" s="50" t="n"/>
      <c r="I94" s="50" t="n"/>
      <c r="J94" s="50" t="n"/>
      <c r="K94" s="50" t="n"/>
      <c r="L94" s="50" t="n"/>
      <c r="M94" s="50" t="n"/>
      <c r="N94" s="50" t="n"/>
      <c r="O94" s="50">
        <f>IF(L94="","",IF(N94&lt;&gt;"",N94-L94,TODAY()-L94))</f>
        <v/>
      </c>
      <c r="P94" s="50" t="n"/>
    </row>
    <row r="95" ht="15" customHeight="1" s="29">
      <c r="A95" s="51" t="inlineStr">
        <is>
          <t>R92</t>
        </is>
      </c>
      <c r="B95" s="51" t="n"/>
      <c r="C95" s="51" t="n"/>
      <c r="D95" s="51" t="n"/>
      <c r="E95" s="51" t="n"/>
      <c r="F95" s="51" t="n"/>
      <c r="G95" s="51">
        <f>IF(OR(E95="",F95=""),"",MATCH(E95,{"Low","Medium","High"},0)*MATCH(F95,{"Low","Medium","High"},0))</f>
        <v/>
      </c>
      <c r="H95" s="51" t="n"/>
      <c r="I95" s="51" t="n"/>
      <c r="J95" s="51" t="n"/>
      <c r="K95" s="51" t="n"/>
      <c r="L95" s="51" t="n"/>
      <c r="M95" s="51" t="n"/>
      <c r="N95" s="51" t="n"/>
      <c r="O95" s="51">
        <f>IF(L95="","",IF(N95&lt;&gt;"",N95-L95,TODAY()-L95))</f>
        <v/>
      </c>
      <c r="P95" s="51" t="n"/>
    </row>
    <row r="96" ht="15" customHeight="1" s="29">
      <c r="A96" s="50" t="inlineStr">
        <is>
          <t>R93</t>
        </is>
      </c>
      <c r="B96" s="50" t="n"/>
      <c r="C96" s="50" t="n"/>
      <c r="D96" s="50" t="n"/>
      <c r="E96" s="50" t="n"/>
      <c r="F96" s="50" t="n"/>
      <c r="G96" s="50">
        <f>IF(OR(E96="",F96=""),"",MATCH(E96,{"Low","Medium","High"},0)*MATCH(F96,{"Low","Medium","High"},0))</f>
        <v/>
      </c>
      <c r="H96" s="50" t="n"/>
      <c r="I96" s="50" t="n"/>
      <c r="J96" s="50" t="n"/>
      <c r="K96" s="50" t="n"/>
      <c r="L96" s="50" t="n"/>
      <c r="M96" s="50" t="n"/>
      <c r="N96" s="50" t="n"/>
      <c r="O96" s="50">
        <f>IF(L96="","",IF(N96&lt;&gt;"",N96-L96,TODAY()-L96))</f>
        <v/>
      </c>
      <c r="P96" s="50" t="n"/>
    </row>
    <row r="97" ht="15" customHeight="1" s="29">
      <c r="A97" s="51" t="inlineStr">
        <is>
          <t>R94</t>
        </is>
      </c>
      <c r="B97" s="51" t="n"/>
      <c r="C97" s="51" t="n"/>
      <c r="D97" s="51" t="n"/>
      <c r="E97" s="51" t="n"/>
      <c r="F97" s="51" t="n"/>
      <c r="G97" s="51">
        <f>IF(OR(E97="",F97=""),"",MATCH(E97,{"Low","Medium","High"},0)*MATCH(F97,{"Low","Medium","High"},0))</f>
        <v/>
      </c>
      <c r="H97" s="51" t="n"/>
      <c r="I97" s="51" t="n"/>
      <c r="J97" s="51" t="n"/>
      <c r="K97" s="51" t="n"/>
      <c r="L97" s="51" t="n"/>
      <c r="M97" s="51" t="n"/>
      <c r="N97" s="51" t="n"/>
      <c r="O97" s="51">
        <f>IF(L97="","",IF(N97&lt;&gt;"",N97-L97,TODAY()-L97))</f>
        <v/>
      </c>
      <c r="P97" s="51" t="n"/>
    </row>
    <row r="98" ht="15" customHeight="1" s="29">
      <c r="A98" s="50" t="inlineStr">
        <is>
          <t>R95</t>
        </is>
      </c>
      <c r="B98" s="50" t="n"/>
      <c r="C98" s="50" t="n"/>
      <c r="D98" s="50" t="n"/>
      <c r="E98" s="50" t="n"/>
      <c r="F98" s="50" t="n"/>
      <c r="G98" s="50">
        <f>IF(OR(E98="",F98=""),"",MATCH(E98,{"Low","Medium","High"},0)*MATCH(F98,{"Low","Medium","High"},0))</f>
        <v/>
      </c>
      <c r="H98" s="50" t="n"/>
      <c r="I98" s="50" t="n"/>
      <c r="J98" s="50" t="n"/>
      <c r="K98" s="50" t="n"/>
      <c r="L98" s="50" t="n"/>
      <c r="M98" s="50" t="n"/>
      <c r="N98" s="50" t="n"/>
      <c r="O98" s="50">
        <f>IF(L98="","",IF(N98&lt;&gt;"",N98-L98,TODAY()-L98))</f>
        <v/>
      </c>
      <c r="P98" s="50" t="n"/>
    </row>
    <row r="99" ht="15" customHeight="1" s="29">
      <c r="A99" s="51" t="inlineStr">
        <is>
          <t>R96</t>
        </is>
      </c>
      <c r="B99" s="51" t="n"/>
      <c r="C99" s="51" t="n"/>
      <c r="D99" s="51" t="n"/>
      <c r="E99" s="51" t="n"/>
      <c r="F99" s="51" t="n"/>
      <c r="G99" s="51">
        <f>IF(OR(E99="",F99=""),"",MATCH(E99,{"Low","Medium","High"},0)*MATCH(F99,{"Low","Medium","High"},0))</f>
        <v/>
      </c>
      <c r="H99" s="51" t="n"/>
      <c r="I99" s="51" t="n"/>
      <c r="J99" s="51" t="n"/>
      <c r="K99" s="51" t="n"/>
      <c r="L99" s="51" t="n"/>
      <c r="M99" s="51" t="n"/>
      <c r="N99" s="51" t="n"/>
      <c r="O99" s="51">
        <f>IF(L99="","",IF(N99&lt;&gt;"",N99-L99,TODAY()-L99))</f>
        <v/>
      </c>
      <c r="P99" s="51" t="n"/>
    </row>
    <row r="100" ht="15" customHeight="1" s="29">
      <c r="A100" s="50" t="inlineStr">
        <is>
          <t>R97</t>
        </is>
      </c>
      <c r="B100" s="50" t="n"/>
      <c r="C100" s="50" t="n"/>
      <c r="D100" s="50" t="n"/>
      <c r="E100" s="50" t="n"/>
      <c r="F100" s="50" t="n"/>
      <c r="G100" s="50">
        <f>IF(OR(E100="",F100=""),"",MATCH(E100,{"Low","Medium","High"},0)*MATCH(F100,{"Low","Medium","High"},0))</f>
        <v/>
      </c>
      <c r="H100" s="50" t="n"/>
      <c r="I100" s="50" t="n"/>
      <c r="J100" s="50" t="n"/>
      <c r="K100" s="50" t="n"/>
      <c r="L100" s="50" t="n"/>
      <c r="M100" s="50" t="n"/>
      <c r="N100" s="50" t="n"/>
      <c r="O100" s="50">
        <f>IF(L100="","",IF(N100&lt;&gt;"",N100-L100,TODAY()-L100))</f>
        <v/>
      </c>
      <c r="P100" s="50" t="n"/>
    </row>
    <row r="101" ht="15" customHeight="1" s="29">
      <c r="A101" s="51" t="inlineStr">
        <is>
          <t>R98</t>
        </is>
      </c>
      <c r="B101" s="51" t="n"/>
      <c r="C101" s="51" t="n"/>
      <c r="D101" s="51" t="n"/>
      <c r="E101" s="51" t="n"/>
      <c r="F101" s="51" t="n"/>
      <c r="G101" s="51">
        <f>IF(OR(E101="",F101=""),"",MATCH(E101,{"Low","Medium","High"},0)*MATCH(F101,{"Low","Medium","High"},0))</f>
        <v/>
      </c>
      <c r="H101" s="51" t="n"/>
      <c r="I101" s="51" t="n"/>
      <c r="J101" s="51" t="n"/>
      <c r="K101" s="51" t="n"/>
      <c r="L101" s="51" t="n"/>
      <c r="M101" s="51" t="n"/>
      <c r="N101" s="51" t="n"/>
      <c r="O101" s="51">
        <f>IF(L101="","",IF(N101&lt;&gt;"",N101-L101,TODAY()-L101))</f>
        <v/>
      </c>
      <c r="P101" s="51" t="n"/>
    </row>
    <row r="102" ht="15" customHeight="1" s="29">
      <c r="A102" s="50" t="inlineStr">
        <is>
          <t>R99</t>
        </is>
      </c>
      <c r="B102" s="50" t="n"/>
      <c r="C102" s="50" t="n"/>
      <c r="D102" s="50" t="n"/>
      <c r="E102" s="50" t="n"/>
      <c r="F102" s="50" t="n"/>
      <c r="G102" s="50">
        <f>IF(OR(E102="",F102=""),"",MATCH(E102,{"Low","Medium","High"},0)*MATCH(F102,{"Low","Medium","High"},0))</f>
        <v/>
      </c>
      <c r="H102" s="50" t="n"/>
      <c r="I102" s="50" t="n"/>
      <c r="J102" s="50" t="n"/>
      <c r="K102" s="50" t="n"/>
      <c r="L102" s="50" t="n"/>
      <c r="M102" s="50" t="n"/>
      <c r="N102" s="50" t="n"/>
      <c r="O102" s="50">
        <f>IF(L102="","",IF(N102&lt;&gt;"",N102-L102,TODAY()-L102))</f>
        <v/>
      </c>
      <c r="P102" s="50" t="n"/>
    </row>
    <row r="103" ht="15" customHeight="1" s="29">
      <c r="A103" s="51" t="inlineStr">
        <is>
          <t>R100</t>
        </is>
      </c>
      <c r="B103" s="51" t="n"/>
      <c r="C103" s="51" t="n"/>
      <c r="D103" s="51" t="n"/>
      <c r="E103" s="51" t="n"/>
      <c r="F103" s="51" t="n"/>
      <c r="G103" s="51">
        <f>IF(OR(E103="",F103=""),"",MATCH(E103,{"Low","Medium","High"},0)*MATCH(F103,{"Low","Medium","High"},0))</f>
        <v/>
      </c>
      <c r="H103" s="51" t="n"/>
      <c r="I103" s="51" t="n"/>
      <c r="J103" s="51" t="n"/>
      <c r="K103" s="51" t="n"/>
      <c r="L103" s="51" t="n"/>
      <c r="M103" s="51" t="n"/>
      <c r="N103" s="51" t="n"/>
      <c r="O103" s="51">
        <f>IF(L103="","",IF(N103&lt;&gt;"",N103-L103,TODAY()-L103))</f>
        <v/>
      </c>
      <c r="P103" s="51" t="n"/>
    </row>
  </sheetData>
  <mergeCells count="2">
    <mergeCell ref="A1:R1"/>
    <mergeCell ref="A3:P3"/>
  </mergeCells>
  <conditionalFormatting sqref="G4:G103">
    <cfRule type="cellIs" priority="1" operator="between" dxfId="0">
      <formula>6</formula>
      <formula>9</formula>
    </cfRule>
    <cfRule type="cellIs" priority="2" operator="between" dxfId="1">
      <formula>3</formula>
      <formula>4</formula>
    </cfRule>
    <cfRule type="cellIs" priority="3" operator="between" dxfId="2">
      <formula>1</formula>
      <formula>2</formula>
    </cfRule>
  </conditionalFormatting>
  <conditionalFormatting sqref="I4:I103">
    <cfRule type="expression" priority="4" dxfId="1">
      <formula>$I4="Open"</formula>
    </cfRule>
    <cfRule type="expression" priority="5" dxfId="3">
      <formula>$I4="Closed"</formula>
    </cfRule>
  </conditionalFormatting>
  <dataValidations count="5">
    <dataValidation sqref="D4:D103" showDropDown="0" showInputMessage="0" showErrorMessage="0" allowBlank="1" type="list">
      <formula1>"Technical,Schedule,Budget,Operational,External"</formula1>
    </dataValidation>
    <dataValidation sqref="E4:E103" showDropDown="0" showInputMessage="0" showErrorMessage="0" allowBlank="1" type="list">
      <formula1>"High,Medium,Low"</formula1>
    </dataValidation>
    <dataValidation sqref="F4:F103" showDropDown="0" showInputMessage="0" showErrorMessage="0" allowBlank="1" type="list">
      <formula1>"High,Medium,Low"</formula1>
    </dataValidation>
    <dataValidation sqref="I4:I103" showDropDown="0" showInputMessage="0" showErrorMessage="0" allowBlank="1" type="list">
      <formula1>"Open,In Progress,Mitigated,Closed"</formula1>
    </dataValidation>
    <dataValidation sqref="J4:J103" showDropDown="0" showInputMessage="0" showErrorMessage="0" allowBlank="1" type="list">
      <formula1>"Avoid,Mitigate,Transfer,Accept"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F78B4"/>
    <outlinePr summaryBelow="1" summaryRight="1"/>
    <pageSetUpPr fitToPage="0"/>
  </sheetPr>
  <dimension ref="A1:J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45" customWidth="1" style="28" min="2" max="2"/>
    <col width="14" customWidth="1" style="28" min="3" max="3"/>
    <col width="30" customWidth="1" style="28" min="4" max="6"/>
    <col width="20" customWidth="1" style="28" min="7" max="7"/>
    <col width="13" customWidth="1" style="28" min="8" max="9"/>
    <col width="30" customWidth="1" style="28" min="10" max="10"/>
  </cols>
  <sheetData>
    <row r="1" ht="27.75" customHeight="1" s="29">
      <c r="A1" s="52" t="inlineStr">
        <is>
          <t>ASSUMPTIONS LOG</t>
        </is>
      </c>
    </row>
    <row r="2" ht="15" customHeight="1" s="29">
      <c r="A2" s="53" t="inlineStr">
        <is>
          <t>ID</t>
        </is>
      </c>
      <c r="B2" s="53" t="inlineStr">
        <is>
          <t>Assumption Description</t>
        </is>
      </c>
      <c r="C2" s="53" t="inlineStr">
        <is>
          <t>Status</t>
        </is>
      </c>
      <c r="D2" s="53" t="inlineStr">
        <is>
          <t>Reason / Basis</t>
        </is>
      </c>
      <c r="E2" s="53" t="inlineStr">
        <is>
          <t>Validation Action</t>
        </is>
      </c>
      <c r="F2" s="53" t="inlineStr">
        <is>
          <t>Impact if Wrong</t>
        </is>
      </c>
      <c r="G2" s="53" t="inlineStr">
        <is>
          <t>Owner</t>
        </is>
      </c>
      <c r="H2" s="53" t="inlineStr">
        <is>
          <t>Date Raised</t>
        </is>
      </c>
      <c r="I2" s="53" t="inlineStr">
        <is>
          <t>Date Closed</t>
        </is>
      </c>
      <c r="J2" s="53" t="inlineStr">
        <is>
          <t>Notes</t>
        </is>
      </c>
    </row>
    <row r="3" ht="15" customHeight="1" s="29">
      <c r="A3" s="49" t="inlineStr">
        <is>
          <t>Status options: Open | Validated | Invalidated | Closed    |    Log an assumption any time you are treating something as true without confirmation. If it turns out to be wrong, would it change the plan? If yes, write it down.</t>
        </is>
      </c>
    </row>
    <row r="4" ht="15" customHeight="1" s="29">
      <c r="A4" s="50" t="inlineStr">
        <is>
          <t>A1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</row>
    <row r="5" ht="15" customHeight="1" s="29">
      <c r="A5" s="51" t="inlineStr">
        <is>
          <t>A2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</row>
    <row r="6" ht="15" customHeight="1" s="29">
      <c r="A6" s="50" t="inlineStr">
        <is>
          <t>A3</t>
        </is>
      </c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</row>
    <row r="7" ht="15" customHeight="1" s="29">
      <c r="A7" s="51" t="inlineStr">
        <is>
          <t>A4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</row>
    <row r="8" ht="15" customHeight="1" s="29">
      <c r="A8" s="50" t="inlineStr">
        <is>
          <t>A5</t>
        </is>
      </c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</row>
    <row r="9" ht="15" customHeight="1" s="29">
      <c r="A9" s="51" t="inlineStr">
        <is>
          <t>A6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</row>
    <row r="10" ht="15" customHeight="1" s="29">
      <c r="A10" s="50" t="inlineStr">
        <is>
          <t>A7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</row>
    <row r="11" ht="15" customHeight="1" s="29">
      <c r="A11" s="51" t="inlineStr">
        <is>
          <t>A8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</row>
    <row r="12" ht="15" customHeight="1" s="29">
      <c r="A12" s="50" t="inlineStr">
        <is>
          <t>A9</t>
        </is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</row>
    <row r="13" ht="15" customHeight="1" s="29">
      <c r="A13" s="51" t="inlineStr">
        <is>
          <t>A10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</row>
    <row r="14" ht="15" customHeight="1" s="29">
      <c r="A14" s="50" t="inlineStr">
        <is>
          <t>A11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</row>
    <row r="15" ht="15" customHeight="1" s="29">
      <c r="A15" s="51" t="inlineStr">
        <is>
          <t>A12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</row>
    <row r="16" ht="15" customHeight="1" s="29">
      <c r="A16" s="50" t="inlineStr">
        <is>
          <t>A13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</row>
    <row r="17" ht="15" customHeight="1" s="29">
      <c r="A17" s="51" t="inlineStr">
        <is>
          <t>A14</t>
        </is>
      </c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</row>
    <row r="18" ht="15" customHeight="1" s="29">
      <c r="A18" s="50" t="inlineStr">
        <is>
          <t>A15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</row>
    <row r="19" ht="15" customHeight="1" s="29">
      <c r="A19" s="51" t="inlineStr">
        <is>
          <t>A16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</row>
    <row r="20" ht="15" customHeight="1" s="29">
      <c r="A20" s="50" t="inlineStr">
        <is>
          <t>A17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</row>
    <row r="21" ht="15" customHeight="1" s="29">
      <c r="A21" s="51" t="inlineStr">
        <is>
          <t>A18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</row>
    <row r="22" ht="15" customHeight="1" s="29">
      <c r="A22" s="50" t="inlineStr">
        <is>
          <t>A19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</row>
    <row r="23" ht="15" customHeight="1" s="29">
      <c r="A23" s="51" t="inlineStr">
        <is>
          <t>A20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</row>
    <row r="24" ht="15" customHeight="1" s="29">
      <c r="A24" s="50" t="inlineStr">
        <is>
          <t>A21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</row>
    <row r="25" ht="15" customHeight="1" s="29">
      <c r="A25" s="51" t="inlineStr">
        <is>
          <t>A22</t>
        </is>
      </c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</row>
    <row r="26" ht="15" customHeight="1" s="29">
      <c r="A26" s="50" t="inlineStr">
        <is>
          <t>A23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</row>
    <row r="27" ht="15" customHeight="1" s="29">
      <c r="A27" s="51" t="inlineStr">
        <is>
          <t>A24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</row>
    <row r="28" ht="15" customHeight="1" s="29">
      <c r="A28" s="50" t="inlineStr">
        <is>
          <t>A25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</row>
    <row r="29" ht="15" customHeight="1" s="29">
      <c r="A29" s="51" t="inlineStr">
        <is>
          <t>A26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</row>
    <row r="30" ht="15" customHeight="1" s="29">
      <c r="A30" s="50" t="inlineStr">
        <is>
          <t>A27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</row>
    <row r="31" ht="15" customHeight="1" s="29">
      <c r="A31" s="51" t="inlineStr">
        <is>
          <t>A28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</row>
    <row r="32" ht="15" customHeight="1" s="29">
      <c r="A32" s="50" t="inlineStr">
        <is>
          <t>A29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</row>
    <row r="33" ht="15" customHeight="1" s="29">
      <c r="A33" s="51" t="inlineStr">
        <is>
          <t>A30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</row>
    <row r="34" ht="15" customHeight="1" s="29">
      <c r="A34" s="50" t="inlineStr">
        <is>
          <t>A31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</row>
    <row r="35" ht="15" customHeight="1" s="29">
      <c r="A35" s="51" t="inlineStr">
        <is>
          <t>A32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</row>
    <row r="36" ht="15" customHeight="1" s="29">
      <c r="A36" s="50" t="inlineStr">
        <is>
          <t>A33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</row>
    <row r="37" ht="15" customHeight="1" s="29">
      <c r="A37" s="51" t="inlineStr">
        <is>
          <t>A34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</row>
    <row r="38" ht="15" customHeight="1" s="29">
      <c r="A38" s="50" t="inlineStr">
        <is>
          <t>A35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</row>
    <row r="39" ht="15" customHeight="1" s="29">
      <c r="A39" s="51" t="inlineStr">
        <is>
          <t>A36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</row>
    <row r="40" ht="15" customHeight="1" s="29">
      <c r="A40" s="50" t="inlineStr">
        <is>
          <t>A37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</row>
    <row r="41" ht="15" customHeight="1" s="29">
      <c r="A41" s="51" t="inlineStr">
        <is>
          <t>A38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</row>
    <row r="42" ht="15" customHeight="1" s="29">
      <c r="A42" s="50" t="inlineStr">
        <is>
          <t>A39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</row>
    <row r="43" ht="15" customHeight="1" s="29">
      <c r="A43" s="51" t="inlineStr">
        <is>
          <t>A40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</row>
    <row r="44" ht="15" customHeight="1" s="29">
      <c r="A44" s="50" t="inlineStr">
        <is>
          <t>A41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</row>
    <row r="45" ht="15" customHeight="1" s="29">
      <c r="A45" s="51" t="inlineStr">
        <is>
          <t>A42</t>
        </is>
      </c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</row>
    <row r="46" ht="15" customHeight="1" s="29">
      <c r="A46" s="50" t="inlineStr">
        <is>
          <t>A43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</row>
    <row r="47" ht="15" customHeight="1" s="29">
      <c r="A47" s="51" t="inlineStr">
        <is>
          <t>A44</t>
        </is>
      </c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</row>
    <row r="48" ht="15" customHeight="1" s="29">
      <c r="A48" s="50" t="inlineStr">
        <is>
          <t>A45</t>
        </is>
      </c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</row>
    <row r="49" ht="15" customHeight="1" s="29">
      <c r="A49" s="51" t="inlineStr">
        <is>
          <t>A46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</row>
    <row r="50" ht="15" customHeight="1" s="29">
      <c r="A50" s="50" t="inlineStr">
        <is>
          <t>A47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</row>
    <row r="51" ht="15" customHeight="1" s="29">
      <c r="A51" s="51" t="inlineStr">
        <is>
          <t>A48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</row>
    <row r="52" ht="15" customHeight="1" s="29">
      <c r="A52" s="50" t="inlineStr">
        <is>
          <t>A49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</row>
    <row r="53" ht="15" customHeight="1" s="29">
      <c r="A53" s="51" t="inlineStr">
        <is>
          <t>A50</t>
        </is>
      </c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</row>
  </sheetData>
  <mergeCells count="2">
    <mergeCell ref="A1:J1"/>
    <mergeCell ref="A3:J3"/>
  </mergeCells>
  <conditionalFormatting sqref="C4:C53">
    <cfRule type="expression" priority="1" dxfId="0">
      <formula>$C4="Invalidated"</formula>
    </cfRule>
    <cfRule type="expression" priority="2" dxfId="2">
      <formula>$C4="Validated"</formula>
    </cfRule>
  </conditionalFormatting>
  <dataValidations count="1">
    <dataValidation sqref="C4:C53" showDropDown="0" showInputMessage="0" showErrorMessage="0" allowBlank="1" type="list">
      <formula1>"Open,Validated,Invalidated,Closed"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O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8" min="1" max="1"/>
    <col width="42" customWidth="1" style="28" min="2" max="2"/>
    <col width="20" customWidth="1" style="28" min="3" max="3"/>
    <col width="16" customWidth="1" style="28" min="4" max="4"/>
    <col width="10" customWidth="1" style="28" min="5" max="5"/>
    <col width="14" customWidth="1" style="28" min="6" max="6"/>
    <col width="40" customWidth="1" style="28" min="7" max="7"/>
    <col width="13" customWidth="1" style="28" min="8" max="8"/>
    <col width="16" customWidth="1" style="28" min="9" max="9"/>
    <col width="13" customWidth="1" style="28" min="10" max="10"/>
    <col width="10" customWidth="1" style="28" min="11" max="11"/>
    <col width="14" customWidth="1" style="28" min="12" max="12"/>
    <col width="30" customWidth="1" style="28" min="13" max="13"/>
  </cols>
  <sheetData>
    <row r="1" ht="27.75" customHeight="1" s="29">
      <c r="A1" s="54" t="inlineStr">
        <is>
          <t>ISSUES LOG</t>
        </is>
      </c>
    </row>
    <row r="2" ht="26.85" customHeight="1" s="29">
      <c r="A2" s="55" t="inlineStr">
        <is>
          <t>Issue ID</t>
        </is>
      </c>
      <c r="B2" s="55" t="inlineStr">
        <is>
          <t>Description &amp; Impact</t>
        </is>
      </c>
      <c r="C2" s="55" t="inlineStr">
        <is>
          <t>Owner</t>
        </is>
      </c>
      <c r="D2" s="55" t="inlineStr">
        <is>
          <t>Category</t>
        </is>
      </c>
      <c r="E2" s="55" t="inlineStr">
        <is>
          <t>Priority</t>
        </is>
      </c>
      <c r="F2" s="55" t="inlineStr">
        <is>
          <t>Status</t>
        </is>
      </c>
      <c r="G2" s="55" t="inlineStr">
        <is>
          <t>Resolution Plan</t>
        </is>
      </c>
      <c r="H2" s="55" t="inlineStr">
        <is>
          <t>Date Raised</t>
        </is>
      </c>
      <c r="I2" s="55" t="inlineStr">
        <is>
          <t>Target Resolution</t>
        </is>
      </c>
      <c r="J2" s="55" t="inlineStr">
        <is>
          <t>Date Closed</t>
        </is>
      </c>
      <c r="K2" s="55" t="inlineStr">
        <is>
          <t>Days Open</t>
        </is>
      </c>
      <c r="L2" s="55" t="inlineStr">
        <is>
          <t>Linked Risk ID</t>
        </is>
      </c>
      <c r="M2" s="55" t="inlineStr">
        <is>
          <t>Notes</t>
        </is>
      </c>
    </row>
    <row r="3" ht="15" customHeight="1" s="29">
      <c r="A3" s="49" t="inlineStr">
        <is>
          <t>Categories: Technical | Schedule | Budget | Operational | External    |    Priority: High / Medium / Low    |    Status: Open / In Progress / Resolved / Closed    |    A risk that happened is an issue. Name it what it is.</t>
        </is>
      </c>
    </row>
    <row r="4" ht="15" customHeight="1" s="29">
      <c r="A4" s="50" t="inlineStr">
        <is>
          <t>I1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>
        <f>IF(H4="","",IF(J4&lt;&gt;"",J4-H4,TODAY()-H4))</f>
        <v/>
      </c>
      <c r="L4" s="50" t="n"/>
      <c r="M4" s="50" t="n"/>
    </row>
    <row r="5" ht="15" customHeight="1" s="29">
      <c r="A5" s="51" t="inlineStr">
        <is>
          <t>I2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>
        <f>IF(H5="","",IF(J5&lt;&gt;"",J5-H5,TODAY()-H5))</f>
        <v/>
      </c>
      <c r="L5" s="51" t="n"/>
      <c r="M5" s="51" t="n"/>
    </row>
    <row r="6" ht="15" customHeight="1" s="29">
      <c r="A6" s="50" t="inlineStr">
        <is>
          <t>I3</t>
        </is>
      </c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>
        <f>IF(H6="","",IF(J6&lt;&gt;"",J6-H6,TODAY()-H6))</f>
        <v/>
      </c>
      <c r="L6" s="50" t="n"/>
      <c r="M6" s="50" t="n"/>
    </row>
    <row r="7" ht="15" customHeight="1" s="29">
      <c r="A7" s="51" t="inlineStr">
        <is>
          <t>I4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>
        <f>IF(H7="","",IF(J7&lt;&gt;"",J7-H7,TODAY()-H7))</f>
        <v/>
      </c>
      <c r="L7" s="51" t="n"/>
      <c r="M7" s="51" t="n"/>
    </row>
    <row r="8" ht="15" customHeight="1" s="29">
      <c r="A8" s="50" t="inlineStr">
        <is>
          <t>I5</t>
        </is>
      </c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>
        <f>IF(H8="","",IF(J8&lt;&gt;"",J8-H8,TODAY()-H8))</f>
        <v/>
      </c>
      <c r="L8" s="50" t="n"/>
      <c r="M8" s="50" t="n"/>
    </row>
    <row r="9" ht="15" customHeight="1" s="29">
      <c r="A9" s="51" t="inlineStr">
        <is>
          <t>I6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>
        <f>IF(H9="","",IF(J9&lt;&gt;"",J9-H9,TODAY()-H9))</f>
        <v/>
      </c>
      <c r="L9" s="51" t="n"/>
      <c r="M9" s="51" t="n"/>
    </row>
    <row r="10" ht="15" customHeight="1" s="29">
      <c r="A10" s="50" t="inlineStr">
        <is>
          <t>I7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>
        <f>IF(H10="","",IF(J10&lt;&gt;"",J10-H10,TODAY()-H10))</f>
        <v/>
      </c>
      <c r="L10" s="50" t="n"/>
      <c r="M10" s="50" t="n"/>
    </row>
    <row r="11" ht="15" customHeight="1" s="29">
      <c r="A11" s="51" t="inlineStr">
        <is>
          <t>I8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>
        <f>IF(H11="","",IF(J11&lt;&gt;"",J11-H11,TODAY()-H11))</f>
        <v/>
      </c>
      <c r="L11" s="51" t="n"/>
      <c r="M11" s="51" t="n"/>
    </row>
    <row r="12" ht="15" customHeight="1" s="29">
      <c r="A12" s="50" t="inlineStr">
        <is>
          <t>I9</t>
        </is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>
        <f>IF(H12="","",IF(J12&lt;&gt;"",J12-H12,TODAY()-H12))</f>
        <v/>
      </c>
      <c r="L12" s="50" t="n"/>
      <c r="M12" s="50" t="n"/>
    </row>
    <row r="13" ht="15" customHeight="1" s="29">
      <c r="A13" s="51" t="inlineStr">
        <is>
          <t>I10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>
        <f>IF(H13="","",IF(J13&lt;&gt;"",J13-H13,TODAY()-H13))</f>
        <v/>
      </c>
      <c r="L13" s="51" t="n"/>
      <c r="M13" s="51" t="n"/>
    </row>
    <row r="14" ht="15" customHeight="1" s="29">
      <c r="A14" s="50" t="inlineStr">
        <is>
          <t>I11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>
        <f>IF(H14="","",IF(J14&lt;&gt;"",J14-H14,TODAY()-H14))</f>
        <v/>
      </c>
      <c r="L14" s="50" t="n"/>
      <c r="M14" s="50" t="n"/>
    </row>
    <row r="15" ht="15" customHeight="1" s="29">
      <c r="A15" s="51" t="inlineStr">
        <is>
          <t>I12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>
        <f>IF(H15="","",IF(J15&lt;&gt;"",J15-H15,TODAY()-H15))</f>
        <v/>
      </c>
      <c r="L15" s="51" t="n"/>
      <c r="M15" s="51" t="n"/>
    </row>
    <row r="16" ht="15" customHeight="1" s="29">
      <c r="A16" s="50" t="inlineStr">
        <is>
          <t>I13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>
        <f>IF(H16="","",IF(J16&lt;&gt;"",J16-H16,TODAY()-H16))</f>
        <v/>
      </c>
      <c r="L16" s="50" t="n"/>
      <c r="M16" s="50" t="n"/>
    </row>
    <row r="17" ht="15" customHeight="1" s="29">
      <c r="A17" s="51" t="inlineStr">
        <is>
          <t>I14</t>
        </is>
      </c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>
        <f>IF(H17="","",IF(J17&lt;&gt;"",J17-H17,TODAY()-H17))</f>
        <v/>
      </c>
      <c r="L17" s="51" t="n"/>
      <c r="M17" s="51" t="n"/>
    </row>
    <row r="18" ht="15" customHeight="1" s="29">
      <c r="A18" s="50" t="inlineStr">
        <is>
          <t>I15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>
        <f>IF(H18="","",IF(J18&lt;&gt;"",J18-H18,TODAY()-H18))</f>
        <v/>
      </c>
      <c r="L18" s="50" t="n"/>
      <c r="M18" s="50" t="n"/>
    </row>
    <row r="19" ht="15" customHeight="1" s="29">
      <c r="A19" s="51" t="inlineStr">
        <is>
          <t>I16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>
        <f>IF(H19="","",IF(J19&lt;&gt;"",J19-H19,TODAY()-H19))</f>
        <v/>
      </c>
      <c r="L19" s="51" t="n"/>
      <c r="M19" s="51" t="n"/>
    </row>
    <row r="20" ht="15" customHeight="1" s="29">
      <c r="A20" s="50" t="inlineStr">
        <is>
          <t>I17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>
        <f>IF(H20="","",IF(J20&lt;&gt;"",J20-H20,TODAY()-H20))</f>
        <v/>
      </c>
      <c r="L20" s="50" t="n"/>
      <c r="M20" s="50" t="n"/>
    </row>
    <row r="21" ht="15" customHeight="1" s="29">
      <c r="A21" s="51" t="inlineStr">
        <is>
          <t>I18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>
        <f>IF(H21="","",IF(J21&lt;&gt;"",J21-H21,TODAY()-H21))</f>
        <v/>
      </c>
      <c r="L21" s="51" t="n"/>
      <c r="M21" s="51" t="n"/>
    </row>
    <row r="22" ht="15" customHeight="1" s="29">
      <c r="A22" s="50" t="inlineStr">
        <is>
          <t>I19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>
        <f>IF(H22="","",IF(J22&lt;&gt;"",J22-H22,TODAY()-H22))</f>
        <v/>
      </c>
      <c r="L22" s="50" t="n"/>
      <c r="M22" s="50" t="n"/>
    </row>
    <row r="23" ht="15" customHeight="1" s="29">
      <c r="A23" s="51" t="inlineStr">
        <is>
          <t>I20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>
        <f>IF(H23="","",IF(J23&lt;&gt;"",J23-H23,TODAY()-H23))</f>
        <v/>
      </c>
      <c r="L23" s="51" t="n"/>
      <c r="M23" s="51" t="n"/>
    </row>
    <row r="24" ht="15" customHeight="1" s="29">
      <c r="A24" s="50" t="inlineStr">
        <is>
          <t>I21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>
        <f>IF(H24="","",IF(J24&lt;&gt;"",J24-H24,TODAY()-H24))</f>
        <v/>
      </c>
      <c r="L24" s="50" t="n"/>
      <c r="M24" s="50" t="n"/>
    </row>
    <row r="25" ht="15" customHeight="1" s="29">
      <c r="A25" s="51" t="inlineStr">
        <is>
          <t>I22</t>
        </is>
      </c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>
        <f>IF(H25="","",IF(J25&lt;&gt;"",J25-H25,TODAY()-H25))</f>
        <v/>
      </c>
      <c r="L25" s="51" t="n"/>
      <c r="M25" s="51" t="n"/>
    </row>
    <row r="26" ht="15" customHeight="1" s="29">
      <c r="A26" s="50" t="inlineStr">
        <is>
          <t>I23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>
        <f>IF(H26="","",IF(J26&lt;&gt;"",J26-H26,TODAY()-H26))</f>
        <v/>
      </c>
      <c r="L26" s="50" t="n"/>
      <c r="M26" s="50" t="n"/>
    </row>
    <row r="27" ht="15" customHeight="1" s="29">
      <c r="A27" s="51" t="inlineStr">
        <is>
          <t>I24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>
        <f>IF(H27="","",IF(J27&lt;&gt;"",J27-H27,TODAY()-H27))</f>
        <v/>
      </c>
      <c r="L27" s="51" t="n"/>
      <c r="M27" s="51" t="n"/>
    </row>
    <row r="28" ht="15" customHeight="1" s="29">
      <c r="A28" s="50" t="inlineStr">
        <is>
          <t>I25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>
        <f>IF(H28="","",IF(J28&lt;&gt;"",J28-H28,TODAY()-H28))</f>
        <v/>
      </c>
      <c r="L28" s="50" t="n"/>
      <c r="M28" s="50" t="n"/>
    </row>
    <row r="29" ht="15" customHeight="1" s="29">
      <c r="A29" s="51" t="inlineStr">
        <is>
          <t>I26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>
        <f>IF(H29="","",IF(J29&lt;&gt;"",J29-H29,TODAY()-H29))</f>
        <v/>
      </c>
      <c r="L29" s="51" t="n"/>
      <c r="M29" s="51" t="n"/>
    </row>
    <row r="30" ht="15" customHeight="1" s="29">
      <c r="A30" s="50" t="inlineStr">
        <is>
          <t>I27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>
        <f>IF(H30="","",IF(J30&lt;&gt;"",J30-H30,TODAY()-H30))</f>
        <v/>
      </c>
      <c r="L30" s="50" t="n"/>
      <c r="M30" s="50" t="n"/>
    </row>
    <row r="31" ht="15" customHeight="1" s="29">
      <c r="A31" s="51" t="inlineStr">
        <is>
          <t>I28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>
        <f>IF(H31="","",IF(J31&lt;&gt;"",J31-H31,TODAY()-H31))</f>
        <v/>
      </c>
      <c r="L31" s="51" t="n"/>
      <c r="M31" s="51" t="n"/>
    </row>
    <row r="32" ht="15" customHeight="1" s="29">
      <c r="A32" s="50" t="inlineStr">
        <is>
          <t>I29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>
        <f>IF(H32="","",IF(J32&lt;&gt;"",J32-H32,TODAY()-H32))</f>
        <v/>
      </c>
      <c r="L32" s="50" t="n"/>
      <c r="M32" s="50" t="n"/>
    </row>
    <row r="33" ht="15" customHeight="1" s="29">
      <c r="A33" s="51" t="inlineStr">
        <is>
          <t>I30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>
        <f>IF(H33="","",IF(J33&lt;&gt;"",J33-H33,TODAY()-H33))</f>
        <v/>
      </c>
      <c r="L33" s="51" t="n"/>
      <c r="M33" s="51" t="n"/>
    </row>
    <row r="34" ht="15" customHeight="1" s="29">
      <c r="A34" s="50" t="inlineStr">
        <is>
          <t>I31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>
        <f>IF(H34="","",IF(J34&lt;&gt;"",J34-H34,TODAY()-H34))</f>
        <v/>
      </c>
      <c r="L34" s="50" t="n"/>
      <c r="M34" s="50" t="n"/>
    </row>
    <row r="35" ht="15" customHeight="1" s="29">
      <c r="A35" s="51" t="inlineStr">
        <is>
          <t>I32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>
        <f>IF(H35="","",IF(J35&lt;&gt;"",J35-H35,TODAY()-H35))</f>
        <v/>
      </c>
      <c r="L35" s="51" t="n"/>
      <c r="M35" s="51" t="n"/>
    </row>
    <row r="36" ht="15" customHeight="1" s="29">
      <c r="A36" s="50" t="inlineStr">
        <is>
          <t>I33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>
        <f>IF(H36="","",IF(J36&lt;&gt;"",J36-H36,TODAY()-H36))</f>
        <v/>
      </c>
      <c r="L36" s="50" t="n"/>
      <c r="M36" s="50" t="n"/>
    </row>
    <row r="37" ht="15" customHeight="1" s="29">
      <c r="A37" s="51" t="inlineStr">
        <is>
          <t>I34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>
        <f>IF(H37="","",IF(J37&lt;&gt;"",J37-H37,TODAY()-H37))</f>
        <v/>
      </c>
      <c r="L37" s="51" t="n"/>
      <c r="M37" s="51" t="n"/>
    </row>
    <row r="38" ht="15" customHeight="1" s="29">
      <c r="A38" s="50" t="inlineStr">
        <is>
          <t>I35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>
        <f>IF(H38="","",IF(J38&lt;&gt;"",J38-H38,TODAY()-H38))</f>
        <v/>
      </c>
      <c r="L38" s="50" t="n"/>
      <c r="M38" s="50" t="n"/>
    </row>
    <row r="39" ht="15" customHeight="1" s="29">
      <c r="A39" s="51" t="inlineStr">
        <is>
          <t>I36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>
        <f>IF(H39="","",IF(J39&lt;&gt;"",J39-H39,TODAY()-H39))</f>
        <v/>
      </c>
      <c r="L39" s="51" t="n"/>
      <c r="M39" s="51" t="n"/>
    </row>
    <row r="40" ht="15" customHeight="1" s="29">
      <c r="A40" s="50" t="inlineStr">
        <is>
          <t>I37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>
        <f>IF(H40="","",IF(J40&lt;&gt;"",J40-H40,TODAY()-H40))</f>
        <v/>
      </c>
      <c r="L40" s="50" t="n"/>
      <c r="M40" s="50" t="n"/>
    </row>
    <row r="41" ht="15" customHeight="1" s="29">
      <c r="A41" s="51" t="inlineStr">
        <is>
          <t>I38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>
        <f>IF(H41="","",IF(J41&lt;&gt;"",J41-H41,TODAY()-H41))</f>
        <v/>
      </c>
      <c r="L41" s="51" t="n"/>
      <c r="M41" s="51" t="n"/>
    </row>
    <row r="42" ht="15" customHeight="1" s="29">
      <c r="A42" s="50" t="inlineStr">
        <is>
          <t>I39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>
        <f>IF(H42="","",IF(J42&lt;&gt;"",J42-H42,TODAY()-H42))</f>
        <v/>
      </c>
      <c r="L42" s="50" t="n"/>
      <c r="M42" s="50" t="n"/>
    </row>
    <row r="43" ht="15" customHeight="1" s="29">
      <c r="A43" s="51" t="inlineStr">
        <is>
          <t>I40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>
        <f>IF(H43="","",IF(J43&lt;&gt;"",J43-H43,TODAY()-H43))</f>
        <v/>
      </c>
      <c r="L43" s="51" t="n"/>
      <c r="M43" s="51" t="n"/>
    </row>
    <row r="44" ht="15" customHeight="1" s="29">
      <c r="A44" s="50" t="inlineStr">
        <is>
          <t>I41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>
        <f>IF(H44="","",IF(J44&lt;&gt;"",J44-H44,TODAY()-H44))</f>
        <v/>
      </c>
      <c r="L44" s="50" t="n"/>
      <c r="M44" s="50" t="n"/>
    </row>
    <row r="45" ht="15" customHeight="1" s="29">
      <c r="A45" s="51" t="inlineStr">
        <is>
          <t>I42</t>
        </is>
      </c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>
        <f>IF(H45="","",IF(J45&lt;&gt;"",J45-H45,TODAY()-H45))</f>
        <v/>
      </c>
      <c r="L45" s="51" t="n"/>
      <c r="M45" s="51" t="n"/>
    </row>
    <row r="46" ht="15" customHeight="1" s="29">
      <c r="A46" s="50" t="inlineStr">
        <is>
          <t>I43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>
        <f>IF(H46="","",IF(J46&lt;&gt;"",J46-H46,TODAY()-H46))</f>
        <v/>
      </c>
      <c r="L46" s="50" t="n"/>
      <c r="M46" s="50" t="n"/>
    </row>
    <row r="47" ht="15" customHeight="1" s="29">
      <c r="A47" s="51" t="inlineStr">
        <is>
          <t>I44</t>
        </is>
      </c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>
        <f>IF(H47="","",IF(J47&lt;&gt;"",J47-H47,TODAY()-H47))</f>
        <v/>
      </c>
      <c r="L47" s="51" t="n"/>
      <c r="M47" s="51" t="n"/>
    </row>
    <row r="48" ht="15" customHeight="1" s="29">
      <c r="A48" s="50" t="inlineStr">
        <is>
          <t>I45</t>
        </is>
      </c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>
        <f>IF(H48="","",IF(J48&lt;&gt;"",J48-H48,TODAY()-H48))</f>
        <v/>
      </c>
      <c r="L48" s="50" t="n"/>
      <c r="M48" s="50" t="n"/>
    </row>
    <row r="49" ht="15" customHeight="1" s="29">
      <c r="A49" s="51" t="inlineStr">
        <is>
          <t>I46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>
        <f>IF(H49="","",IF(J49&lt;&gt;"",J49-H49,TODAY()-H49))</f>
        <v/>
      </c>
      <c r="L49" s="51" t="n"/>
      <c r="M49" s="51" t="n"/>
    </row>
    <row r="50" ht="15" customHeight="1" s="29">
      <c r="A50" s="50" t="inlineStr">
        <is>
          <t>I47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>
        <f>IF(H50="","",IF(J50&lt;&gt;"",J50-H50,TODAY()-H50))</f>
        <v/>
      </c>
      <c r="L50" s="50" t="n"/>
      <c r="M50" s="50" t="n"/>
    </row>
    <row r="51" ht="15" customHeight="1" s="29">
      <c r="A51" s="51" t="inlineStr">
        <is>
          <t>I48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>
        <f>IF(H51="","",IF(J51&lt;&gt;"",J51-H51,TODAY()-H51))</f>
        <v/>
      </c>
      <c r="L51" s="51" t="n"/>
      <c r="M51" s="51" t="n"/>
    </row>
    <row r="52" ht="15" customHeight="1" s="29">
      <c r="A52" s="50" t="inlineStr">
        <is>
          <t>I49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>
        <f>IF(H52="","",IF(J52&lt;&gt;"",J52-H52,TODAY()-H52))</f>
        <v/>
      </c>
      <c r="L52" s="50" t="n"/>
      <c r="M52" s="50" t="n"/>
    </row>
    <row r="53" ht="15" customHeight="1" s="29">
      <c r="A53" s="51" t="inlineStr">
        <is>
          <t>I50</t>
        </is>
      </c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>
        <f>IF(H53="","",IF(J53&lt;&gt;"",J53-H53,TODAY()-H53))</f>
        <v/>
      </c>
      <c r="L53" s="51" t="n"/>
      <c r="M53" s="51" t="n"/>
    </row>
    <row r="54" ht="15" customHeight="1" s="29">
      <c r="A54" s="50" t="inlineStr">
        <is>
          <t>I51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>
        <f>IF(H54="","",IF(J54&lt;&gt;"",J54-H54,TODAY()-H54))</f>
        <v/>
      </c>
      <c r="L54" s="50" t="n"/>
      <c r="M54" s="50" t="n"/>
    </row>
    <row r="55" ht="15" customHeight="1" s="29">
      <c r="A55" s="51" t="inlineStr">
        <is>
          <t>I52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>
        <f>IF(H55="","",IF(J55&lt;&gt;"",J55-H55,TODAY()-H55))</f>
        <v/>
      </c>
      <c r="L55" s="51" t="n"/>
      <c r="M55" s="51" t="n"/>
    </row>
    <row r="56" ht="15" customHeight="1" s="29">
      <c r="A56" s="50" t="inlineStr">
        <is>
          <t>I53</t>
        </is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>
        <f>IF(H56="","",IF(J56&lt;&gt;"",J56-H56,TODAY()-H56))</f>
        <v/>
      </c>
      <c r="L56" s="50" t="n"/>
      <c r="M56" s="50" t="n"/>
    </row>
    <row r="57" ht="15" customHeight="1" s="29">
      <c r="A57" s="51" t="inlineStr">
        <is>
          <t>I54</t>
        </is>
      </c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>
        <f>IF(H57="","",IF(J57&lt;&gt;"",J57-H57,TODAY()-H57))</f>
        <v/>
      </c>
      <c r="L57" s="51" t="n"/>
      <c r="M57" s="51" t="n"/>
    </row>
    <row r="58" ht="15" customHeight="1" s="29">
      <c r="A58" s="50" t="inlineStr">
        <is>
          <t>I55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>
        <f>IF(H58="","",IF(J58&lt;&gt;"",J58-H58,TODAY()-H58))</f>
        <v/>
      </c>
      <c r="L58" s="50" t="n"/>
      <c r="M58" s="50" t="n"/>
    </row>
    <row r="59" ht="15" customHeight="1" s="29">
      <c r="A59" s="51" t="inlineStr">
        <is>
          <t>I56</t>
        </is>
      </c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>
        <f>IF(H59="","",IF(J59&lt;&gt;"",J59-H59,TODAY()-H59))</f>
        <v/>
      </c>
      <c r="L59" s="51" t="n"/>
      <c r="M59" s="51" t="n"/>
    </row>
    <row r="60" ht="15" customHeight="1" s="29">
      <c r="A60" s="50" t="inlineStr">
        <is>
          <t>I57</t>
        </is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>
        <f>IF(H60="","",IF(J60&lt;&gt;"",J60-H60,TODAY()-H60))</f>
        <v/>
      </c>
      <c r="L60" s="50" t="n"/>
      <c r="M60" s="50" t="n"/>
    </row>
    <row r="61" ht="15" customHeight="1" s="29">
      <c r="A61" s="51" t="inlineStr">
        <is>
          <t>I58</t>
        </is>
      </c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>
        <f>IF(H61="","",IF(J61&lt;&gt;"",J61-H61,TODAY()-H61))</f>
        <v/>
      </c>
      <c r="L61" s="51" t="n"/>
      <c r="M61" s="51" t="n"/>
    </row>
    <row r="62" ht="15" customHeight="1" s="29">
      <c r="A62" s="50" t="inlineStr">
        <is>
          <t>I59</t>
        </is>
      </c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>
        <f>IF(H62="","",IF(J62&lt;&gt;"",J62-H62,TODAY()-H62))</f>
        <v/>
      </c>
      <c r="L62" s="50" t="n"/>
      <c r="M62" s="50" t="n"/>
    </row>
    <row r="63" ht="15" customHeight="1" s="29">
      <c r="A63" s="51" t="inlineStr">
        <is>
          <t>I60</t>
        </is>
      </c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>
        <f>IF(H63="","",IF(J63&lt;&gt;"",J63-H63,TODAY()-H63))</f>
        <v/>
      </c>
      <c r="L63" s="51" t="n"/>
      <c r="M63" s="51" t="n"/>
    </row>
    <row r="64" ht="15" customHeight="1" s="29">
      <c r="A64" s="50" t="inlineStr">
        <is>
          <t>I61</t>
        </is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>
        <f>IF(H64="","",IF(J64&lt;&gt;"",J64-H64,TODAY()-H64))</f>
        <v/>
      </c>
      <c r="L64" s="50" t="n"/>
      <c r="M64" s="50" t="n"/>
    </row>
    <row r="65" ht="15" customHeight="1" s="29">
      <c r="A65" s="51" t="inlineStr">
        <is>
          <t>I62</t>
        </is>
      </c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>
        <f>IF(H65="","",IF(J65&lt;&gt;"",J65-H65,TODAY()-H65))</f>
        <v/>
      </c>
      <c r="L65" s="51" t="n"/>
      <c r="M65" s="51" t="n"/>
    </row>
    <row r="66" ht="15" customHeight="1" s="29">
      <c r="A66" s="50" t="inlineStr">
        <is>
          <t>I63</t>
        </is>
      </c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>
        <f>IF(H66="","",IF(J66&lt;&gt;"",J66-H66,TODAY()-H66))</f>
        <v/>
      </c>
      <c r="L66" s="50" t="n"/>
      <c r="M66" s="50" t="n"/>
    </row>
    <row r="67" ht="15" customHeight="1" s="29">
      <c r="A67" s="51" t="inlineStr">
        <is>
          <t>I64</t>
        </is>
      </c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>
        <f>IF(H67="","",IF(J67&lt;&gt;"",J67-H67,TODAY()-H67))</f>
        <v/>
      </c>
      <c r="L67" s="51" t="n"/>
      <c r="M67" s="51" t="n"/>
    </row>
    <row r="68" ht="15" customHeight="1" s="29">
      <c r="A68" s="50" t="inlineStr">
        <is>
          <t>I65</t>
        </is>
      </c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>
        <f>IF(H68="","",IF(J68&lt;&gt;"",J68-H68,TODAY()-H68))</f>
        <v/>
      </c>
      <c r="L68" s="50" t="n"/>
      <c r="M68" s="50" t="n"/>
    </row>
    <row r="69" ht="15" customHeight="1" s="29">
      <c r="A69" s="51" t="inlineStr">
        <is>
          <t>I66</t>
        </is>
      </c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>
        <f>IF(H69="","",IF(J69&lt;&gt;"",J69-H69,TODAY()-H69))</f>
        <v/>
      </c>
      <c r="L69" s="51" t="n"/>
      <c r="M69" s="51" t="n"/>
    </row>
    <row r="70" ht="15" customHeight="1" s="29">
      <c r="A70" s="50" t="inlineStr">
        <is>
          <t>I67</t>
        </is>
      </c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>
        <f>IF(H70="","",IF(J70&lt;&gt;"",J70-H70,TODAY()-H70))</f>
        <v/>
      </c>
      <c r="L70" s="50" t="n"/>
      <c r="M70" s="50" t="n"/>
    </row>
    <row r="71" ht="15" customHeight="1" s="29">
      <c r="A71" s="51" t="inlineStr">
        <is>
          <t>I68</t>
        </is>
      </c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>
        <f>IF(H71="","",IF(J71&lt;&gt;"",J71-H71,TODAY()-H71))</f>
        <v/>
      </c>
      <c r="L71" s="51" t="n"/>
      <c r="M71" s="51" t="n"/>
    </row>
    <row r="72" ht="15" customHeight="1" s="29">
      <c r="A72" s="50" t="inlineStr">
        <is>
          <t>I69</t>
        </is>
      </c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>
        <f>IF(H72="","",IF(J72&lt;&gt;"",J72-H72,TODAY()-H72))</f>
        <v/>
      </c>
      <c r="L72" s="50" t="n"/>
      <c r="M72" s="50" t="n"/>
    </row>
    <row r="73" ht="15" customHeight="1" s="29">
      <c r="A73" s="51" t="inlineStr">
        <is>
          <t>I70</t>
        </is>
      </c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>
        <f>IF(H73="","",IF(J73&lt;&gt;"",J73-H73,TODAY()-H73))</f>
        <v/>
      </c>
      <c r="L73" s="51" t="n"/>
      <c r="M73" s="51" t="n"/>
    </row>
    <row r="74" ht="15" customHeight="1" s="29">
      <c r="A74" s="50" t="inlineStr">
        <is>
          <t>I71</t>
        </is>
      </c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>
        <f>IF(H74="","",IF(J74&lt;&gt;"",J74-H74,TODAY()-H74))</f>
        <v/>
      </c>
      <c r="L74" s="50" t="n"/>
      <c r="M74" s="50" t="n"/>
    </row>
    <row r="75" ht="15" customHeight="1" s="29">
      <c r="A75" s="51" t="inlineStr">
        <is>
          <t>I72</t>
        </is>
      </c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>
        <f>IF(H75="","",IF(J75&lt;&gt;"",J75-H75,TODAY()-H75))</f>
        <v/>
      </c>
      <c r="L75" s="51" t="n"/>
      <c r="M75" s="51" t="n"/>
    </row>
    <row r="76" ht="15" customHeight="1" s="29">
      <c r="A76" s="50" t="inlineStr">
        <is>
          <t>I73</t>
        </is>
      </c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>
        <f>IF(H76="","",IF(J76&lt;&gt;"",J76-H76,TODAY()-H76))</f>
        <v/>
      </c>
      <c r="L76" s="50" t="n"/>
      <c r="M76" s="50" t="n"/>
    </row>
    <row r="77" ht="15" customHeight="1" s="29">
      <c r="A77" s="51" t="inlineStr">
        <is>
          <t>I74</t>
        </is>
      </c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>
        <f>IF(H77="","",IF(J77&lt;&gt;"",J77-H77,TODAY()-H77))</f>
        <v/>
      </c>
      <c r="L77" s="51" t="n"/>
      <c r="M77" s="51" t="n"/>
    </row>
    <row r="78" ht="15" customHeight="1" s="29">
      <c r="A78" s="50" t="inlineStr">
        <is>
          <t>I75</t>
        </is>
      </c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>
        <f>IF(H78="","",IF(J78&lt;&gt;"",J78-H78,TODAY()-H78))</f>
        <v/>
      </c>
      <c r="L78" s="50" t="n"/>
      <c r="M78" s="50" t="n"/>
    </row>
    <row r="79" ht="15" customHeight="1" s="29">
      <c r="A79" s="51" t="inlineStr">
        <is>
          <t>I76</t>
        </is>
      </c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>
        <f>IF(H79="","",IF(J79&lt;&gt;"",J79-H79,TODAY()-H79))</f>
        <v/>
      </c>
      <c r="L79" s="51" t="n"/>
      <c r="M79" s="51" t="n"/>
    </row>
    <row r="80" ht="15" customHeight="1" s="29">
      <c r="A80" s="50" t="inlineStr">
        <is>
          <t>I77</t>
        </is>
      </c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>
        <f>IF(H80="","",IF(J80&lt;&gt;"",J80-H80,TODAY()-H80))</f>
        <v/>
      </c>
      <c r="L80" s="50" t="n"/>
      <c r="M80" s="50" t="n"/>
    </row>
    <row r="81" ht="15" customHeight="1" s="29">
      <c r="A81" s="51" t="inlineStr">
        <is>
          <t>I78</t>
        </is>
      </c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>
        <f>IF(H81="","",IF(J81&lt;&gt;"",J81-H81,TODAY()-H81))</f>
        <v/>
      </c>
      <c r="L81" s="51" t="n"/>
      <c r="M81" s="51" t="n"/>
    </row>
    <row r="82" ht="15" customHeight="1" s="29">
      <c r="A82" s="50" t="inlineStr">
        <is>
          <t>I79</t>
        </is>
      </c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>
        <f>IF(H82="","",IF(J82&lt;&gt;"",J82-H82,TODAY()-H82))</f>
        <v/>
      </c>
      <c r="L82" s="50" t="n"/>
      <c r="M82" s="50" t="n"/>
    </row>
    <row r="83" ht="15" customHeight="1" s="29">
      <c r="A83" s="51" t="inlineStr">
        <is>
          <t>I80</t>
        </is>
      </c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>
        <f>IF(H83="","",IF(J83&lt;&gt;"",J83-H83,TODAY()-H83))</f>
        <v/>
      </c>
      <c r="L83" s="51" t="n"/>
      <c r="M83" s="51" t="n"/>
    </row>
    <row r="84" ht="15" customHeight="1" s="29">
      <c r="A84" s="50" t="inlineStr">
        <is>
          <t>I81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>
        <f>IF(H84="","",IF(J84&lt;&gt;"",J84-H84,TODAY()-H84))</f>
        <v/>
      </c>
      <c r="L84" s="50" t="n"/>
      <c r="M84" s="50" t="n"/>
    </row>
    <row r="85" ht="15" customHeight="1" s="29">
      <c r="A85" s="51" t="inlineStr">
        <is>
          <t>I82</t>
        </is>
      </c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>
        <f>IF(H85="","",IF(J85&lt;&gt;"",J85-H85,TODAY()-H85))</f>
        <v/>
      </c>
      <c r="L85" s="51" t="n"/>
      <c r="M85" s="51" t="n"/>
    </row>
    <row r="86" ht="15" customHeight="1" s="29">
      <c r="A86" s="50" t="inlineStr">
        <is>
          <t>I83</t>
        </is>
      </c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>
        <f>IF(H86="","",IF(J86&lt;&gt;"",J86-H86,TODAY()-H86))</f>
        <v/>
      </c>
      <c r="L86" s="50" t="n"/>
      <c r="M86" s="50" t="n"/>
    </row>
    <row r="87" ht="15" customHeight="1" s="29">
      <c r="A87" s="51" t="inlineStr">
        <is>
          <t>I84</t>
        </is>
      </c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>
        <f>IF(H87="","",IF(J87&lt;&gt;"",J87-H87,TODAY()-H87))</f>
        <v/>
      </c>
      <c r="L87" s="51" t="n"/>
      <c r="M87" s="51" t="n"/>
    </row>
    <row r="88" ht="15" customHeight="1" s="29">
      <c r="A88" s="50" t="inlineStr">
        <is>
          <t>I85</t>
        </is>
      </c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>
        <f>IF(H88="","",IF(J88&lt;&gt;"",J88-H88,TODAY()-H88))</f>
        <v/>
      </c>
      <c r="L88" s="50" t="n"/>
      <c r="M88" s="50" t="n"/>
    </row>
    <row r="89" ht="15" customHeight="1" s="29">
      <c r="A89" s="51" t="inlineStr">
        <is>
          <t>I86</t>
        </is>
      </c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>
        <f>IF(H89="","",IF(J89&lt;&gt;"",J89-H89,TODAY()-H89))</f>
        <v/>
      </c>
      <c r="L89" s="51" t="n"/>
      <c r="M89" s="51" t="n"/>
    </row>
    <row r="90" ht="15" customHeight="1" s="29">
      <c r="A90" s="50" t="inlineStr">
        <is>
          <t>I87</t>
        </is>
      </c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>
        <f>IF(H90="","",IF(J90&lt;&gt;"",J90-H90,TODAY()-H90))</f>
        <v/>
      </c>
      <c r="L90" s="50" t="n"/>
      <c r="M90" s="50" t="n"/>
    </row>
    <row r="91" ht="15" customHeight="1" s="29">
      <c r="A91" s="51" t="inlineStr">
        <is>
          <t>I88</t>
        </is>
      </c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>
        <f>IF(H91="","",IF(J91&lt;&gt;"",J91-H91,TODAY()-H91))</f>
        <v/>
      </c>
      <c r="L91" s="51" t="n"/>
      <c r="M91" s="51" t="n"/>
    </row>
    <row r="92" ht="15" customHeight="1" s="29">
      <c r="A92" s="50" t="inlineStr">
        <is>
          <t>I89</t>
        </is>
      </c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>
        <f>IF(H92="","",IF(J92&lt;&gt;"",J92-H92,TODAY()-H92))</f>
        <v/>
      </c>
      <c r="L92" s="50" t="n"/>
      <c r="M92" s="50" t="n"/>
    </row>
    <row r="93" ht="15" customHeight="1" s="29">
      <c r="A93" s="51" t="inlineStr">
        <is>
          <t>I90</t>
        </is>
      </c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>
        <f>IF(H93="","",IF(J93&lt;&gt;"",J93-H93,TODAY()-H93))</f>
        <v/>
      </c>
      <c r="L93" s="51" t="n"/>
      <c r="M93" s="51" t="n"/>
    </row>
    <row r="94" ht="15" customHeight="1" s="29">
      <c r="A94" s="50" t="inlineStr">
        <is>
          <t>I91</t>
        </is>
      </c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>
        <f>IF(H94="","",IF(J94&lt;&gt;"",J94-H94,TODAY()-H94))</f>
        <v/>
      </c>
      <c r="L94" s="50" t="n"/>
      <c r="M94" s="50" t="n"/>
    </row>
    <row r="95" ht="15" customHeight="1" s="29">
      <c r="A95" s="51" t="inlineStr">
        <is>
          <t>I92</t>
        </is>
      </c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>
        <f>IF(H95="","",IF(J95&lt;&gt;"",J95-H95,TODAY()-H95))</f>
        <v/>
      </c>
      <c r="L95" s="51" t="n"/>
      <c r="M95" s="51" t="n"/>
    </row>
    <row r="96" ht="15" customHeight="1" s="29">
      <c r="A96" s="50" t="inlineStr">
        <is>
          <t>I93</t>
        </is>
      </c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>
        <f>IF(H96="","",IF(J96&lt;&gt;"",J96-H96,TODAY()-H96))</f>
        <v/>
      </c>
      <c r="L96" s="50" t="n"/>
      <c r="M96" s="50" t="n"/>
    </row>
    <row r="97" ht="15" customHeight="1" s="29">
      <c r="A97" s="51" t="inlineStr">
        <is>
          <t>I94</t>
        </is>
      </c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>
        <f>IF(H97="","",IF(J97&lt;&gt;"",J97-H97,TODAY()-H97))</f>
        <v/>
      </c>
      <c r="L97" s="51" t="n"/>
      <c r="M97" s="51" t="n"/>
    </row>
    <row r="98" ht="15" customHeight="1" s="29">
      <c r="A98" s="50" t="inlineStr">
        <is>
          <t>I95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>
        <f>IF(H98="","",IF(J98&lt;&gt;"",J98-H98,TODAY()-H98))</f>
        <v/>
      </c>
      <c r="L98" s="50" t="n"/>
      <c r="M98" s="50" t="n"/>
    </row>
    <row r="99" ht="15" customHeight="1" s="29">
      <c r="A99" s="51" t="inlineStr">
        <is>
          <t>I96</t>
        </is>
      </c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>
        <f>IF(H99="","",IF(J99&lt;&gt;"",J99-H99,TODAY()-H99))</f>
        <v/>
      </c>
      <c r="L99" s="51" t="n"/>
      <c r="M99" s="51" t="n"/>
    </row>
    <row r="100" ht="15" customHeight="1" s="29">
      <c r="A100" s="50" t="inlineStr">
        <is>
          <t>I97</t>
        </is>
      </c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>
        <f>IF(H100="","",IF(J100&lt;&gt;"",J100-H100,TODAY()-H100))</f>
        <v/>
      </c>
      <c r="L100" s="50" t="n"/>
      <c r="M100" s="50" t="n"/>
    </row>
    <row r="101" ht="15" customHeight="1" s="29">
      <c r="A101" s="51" t="inlineStr">
        <is>
          <t>I98</t>
        </is>
      </c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>
        <f>IF(H101="","",IF(J101&lt;&gt;"",J101-H101,TODAY()-H101))</f>
        <v/>
      </c>
      <c r="L101" s="51" t="n"/>
      <c r="M101" s="51" t="n"/>
    </row>
    <row r="102" ht="15" customHeight="1" s="29">
      <c r="A102" s="50" t="inlineStr">
        <is>
          <t>I99</t>
        </is>
      </c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>
        <f>IF(H102="","",IF(J102&lt;&gt;"",J102-H102,TODAY()-H102))</f>
        <v/>
      </c>
      <c r="L102" s="50" t="n"/>
      <c r="M102" s="50" t="n"/>
    </row>
    <row r="103" ht="15" customHeight="1" s="29">
      <c r="A103" s="51" t="inlineStr">
        <is>
          <t>I100</t>
        </is>
      </c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>
        <f>IF(H103="","",IF(J103&lt;&gt;"",J103-H103,TODAY()-H103))</f>
        <v/>
      </c>
      <c r="L103" s="51" t="n"/>
      <c r="M103" s="51" t="n"/>
    </row>
  </sheetData>
  <mergeCells count="2">
    <mergeCell ref="A1:O1"/>
    <mergeCell ref="A3:M3"/>
  </mergeCells>
  <conditionalFormatting sqref="E4:E103">
    <cfRule type="expression" priority="1" dxfId="0">
      <formula>$E4="High"</formula>
    </cfRule>
  </conditionalFormatting>
  <conditionalFormatting sqref="F4:F103">
    <cfRule type="expression" priority="2" dxfId="1">
      <formula>$F4="Open"</formula>
    </cfRule>
    <cfRule type="expression" priority="3" dxfId="3">
      <formula>$F4="Closed"</formula>
    </cfRule>
  </conditionalFormatting>
  <dataValidations count="3">
    <dataValidation sqref="D4:D103" showDropDown="0" showInputMessage="0" showErrorMessage="0" allowBlank="1" type="list">
      <formula1>"Technical,Schedule,Budget,Operational,External"</formula1>
    </dataValidation>
    <dataValidation sqref="E4:E103" showDropDown="0" showInputMessage="0" showErrorMessage="0" allowBlank="1" type="list">
      <formula1>"High,Medium,Low"</formula1>
    </dataValidation>
    <dataValidation sqref="F4:F103" showDropDown="0" showInputMessage="0" showErrorMessage="0" allowBlank="1" type="list">
      <formula1>"Open,In Progress,Resolved,Closed"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L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8" min="1" max="1"/>
    <col width="35" customWidth="1" style="28" min="2" max="2"/>
    <col width="12" customWidth="1" style="28" min="3" max="3"/>
    <col width="30" customWidth="1" style="28" min="4" max="4"/>
    <col width="20" customWidth="1" style="28" min="5" max="6"/>
    <col width="12" customWidth="1" style="28" min="7" max="7"/>
    <col width="30" customWidth="1" style="28" min="8" max="8"/>
    <col width="12" customWidth="1" style="28" min="9" max="9"/>
    <col width="10" customWidth="1" style="28" min="10" max="10"/>
    <col width="14" customWidth="1" style="28" min="11" max="11"/>
    <col width="30" customWidth="1" style="28" min="12" max="12"/>
  </cols>
  <sheetData>
    <row r="1" ht="27.75" customHeight="1" s="29">
      <c r="A1" s="56" t="inlineStr">
        <is>
          <t>DEPENDENCIES LOG</t>
        </is>
      </c>
    </row>
    <row r="2" ht="15" customHeight="1" s="29">
      <c r="A2" s="57" t="inlineStr">
        <is>
          <t>Dep ID</t>
        </is>
      </c>
      <c r="B2" s="57" t="inlineStr">
        <is>
          <t>Description</t>
        </is>
      </c>
      <c r="C2" s="57" t="inlineStr">
        <is>
          <t>Type</t>
        </is>
      </c>
      <c r="D2" s="57" t="inlineStr">
        <is>
          <t>What We Need</t>
        </is>
      </c>
      <c r="E2" s="57" t="inlineStr">
        <is>
          <t>Owner (Our Side)</t>
        </is>
      </c>
      <c r="F2" s="57" t="inlineStr">
        <is>
          <t>External Contact</t>
        </is>
      </c>
      <c r="G2" s="57" t="inlineStr">
        <is>
          <t>Due Date</t>
        </is>
      </c>
      <c r="H2" s="57" t="inlineStr">
        <is>
          <t>Impact if Late</t>
        </is>
      </c>
      <c r="I2" s="57" t="inlineStr">
        <is>
          <t>Likelihood</t>
        </is>
      </c>
      <c r="J2" s="57" t="inlineStr">
        <is>
          <t>Impact</t>
        </is>
      </c>
      <c r="K2" s="57" t="inlineStr">
        <is>
          <t>Status</t>
        </is>
      </c>
      <c r="L2" s="57" t="inlineStr">
        <is>
          <t>Notes</t>
        </is>
      </c>
    </row>
    <row r="3" ht="15" customHeight="1" s="29">
      <c r="A3" s="49" t="inlineStr">
        <is>
          <t>Type: Internal / External    |    Status: On Track / At Risk / Blocked / Complete    |    Every dependency needs an owner on your side and a contact on the other side. 'I haven't heard back' is not a status.</t>
        </is>
      </c>
    </row>
    <row r="4" ht="15" customHeight="1" s="29">
      <c r="A4" s="50" t="inlineStr">
        <is>
          <t>D1</t>
        </is>
      </c>
      <c r="B4" s="50" t="n"/>
      <c r="C4" s="50" t="n"/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</row>
    <row r="5" ht="15" customHeight="1" s="29">
      <c r="A5" s="51" t="inlineStr">
        <is>
          <t>D2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 ht="15" customHeight="1" s="29">
      <c r="A6" s="50" t="inlineStr">
        <is>
          <t>D3</t>
        </is>
      </c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</row>
    <row r="7" ht="15" customHeight="1" s="29">
      <c r="A7" s="51" t="inlineStr">
        <is>
          <t>D4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 ht="15" customHeight="1" s="29">
      <c r="A8" s="50" t="inlineStr">
        <is>
          <t>D5</t>
        </is>
      </c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</row>
    <row r="9" ht="15" customHeight="1" s="29">
      <c r="A9" s="51" t="inlineStr">
        <is>
          <t>D6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15" customHeight="1" s="29">
      <c r="A10" s="50" t="inlineStr">
        <is>
          <t>D7</t>
        </is>
      </c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</row>
    <row r="11" ht="15" customHeight="1" s="29">
      <c r="A11" s="51" t="inlineStr">
        <is>
          <t>D8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 ht="15" customHeight="1" s="29">
      <c r="A12" s="50" t="inlineStr">
        <is>
          <t>D9</t>
        </is>
      </c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</row>
    <row r="13" ht="15" customHeight="1" s="29">
      <c r="A13" s="51" t="inlineStr">
        <is>
          <t>D10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 ht="15" customHeight="1" s="29">
      <c r="A14" s="50" t="inlineStr">
        <is>
          <t>D11</t>
        </is>
      </c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</row>
    <row r="15" ht="15" customHeight="1" s="29">
      <c r="A15" s="51" t="inlineStr">
        <is>
          <t>D12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15" customHeight="1" s="29">
      <c r="A16" s="50" t="inlineStr">
        <is>
          <t>D13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</row>
    <row r="17" ht="15" customHeight="1" s="29">
      <c r="A17" s="51" t="inlineStr">
        <is>
          <t>D14</t>
        </is>
      </c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 ht="15" customHeight="1" s="29">
      <c r="A18" s="50" t="inlineStr">
        <is>
          <t>D15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</row>
    <row r="19" ht="15" customHeight="1" s="29">
      <c r="A19" s="51" t="inlineStr">
        <is>
          <t>D16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15" customHeight="1" s="29">
      <c r="A20" s="50" t="inlineStr">
        <is>
          <t>D17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</row>
    <row r="21" ht="15" customHeight="1" s="29">
      <c r="A21" s="51" t="inlineStr">
        <is>
          <t>D18</t>
        </is>
      </c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 ht="15" customHeight="1" s="29">
      <c r="A22" s="50" t="inlineStr">
        <is>
          <t>D19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</row>
    <row r="23" ht="15" customHeight="1" s="29">
      <c r="A23" s="51" t="inlineStr">
        <is>
          <t>D20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 ht="15" customHeight="1" s="29">
      <c r="A24" s="50" t="inlineStr">
        <is>
          <t>D21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</row>
    <row r="25" ht="15" customHeight="1" s="29">
      <c r="A25" s="51" t="inlineStr">
        <is>
          <t>D22</t>
        </is>
      </c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 ht="15" customHeight="1" s="29">
      <c r="A26" s="50" t="inlineStr">
        <is>
          <t>D23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</row>
    <row r="27" ht="15" customHeight="1" s="29">
      <c r="A27" s="51" t="inlineStr">
        <is>
          <t>D24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15" customHeight="1" s="29">
      <c r="A28" s="50" t="inlineStr">
        <is>
          <t>D25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</row>
    <row r="29" ht="15" customHeight="1" s="29">
      <c r="A29" s="51" t="inlineStr">
        <is>
          <t>D26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  <row r="30" ht="15" customHeight="1" s="29">
      <c r="A30" s="50" t="inlineStr">
        <is>
          <t>D27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</row>
    <row r="31" ht="15" customHeight="1" s="29">
      <c r="A31" s="51" t="inlineStr">
        <is>
          <t>D28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</row>
    <row r="32" ht="15" customHeight="1" s="29">
      <c r="A32" s="50" t="inlineStr">
        <is>
          <t>D29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</row>
    <row r="33" ht="15" customHeight="1" s="29">
      <c r="A33" s="51" t="inlineStr">
        <is>
          <t>D30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</row>
    <row r="34" ht="15" customHeight="1" s="29">
      <c r="A34" s="50" t="inlineStr">
        <is>
          <t>D31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</row>
    <row r="35" ht="15" customHeight="1" s="29">
      <c r="A35" s="51" t="inlineStr">
        <is>
          <t>D32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</row>
    <row r="36" ht="15" customHeight="1" s="29">
      <c r="A36" s="50" t="inlineStr">
        <is>
          <t>D33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</row>
    <row r="37" ht="15" customHeight="1" s="29">
      <c r="A37" s="51" t="inlineStr">
        <is>
          <t>D34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</row>
    <row r="38" ht="15" customHeight="1" s="29">
      <c r="A38" s="50" t="inlineStr">
        <is>
          <t>D35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</row>
    <row r="39" ht="15" customHeight="1" s="29">
      <c r="A39" s="51" t="inlineStr">
        <is>
          <t>D36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</row>
    <row r="40" ht="15" customHeight="1" s="29">
      <c r="A40" s="50" t="inlineStr">
        <is>
          <t>D37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</row>
    <row r="41" ht="15" customHeight="1" s="29">
      <c r="A41" s="51" t="inlineStr">
        <is>
          <t>D38</t>
        </is>
      </c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</row>
    <row r="42" ht="15" customHeight="1" s="29">
      <c r="A42" s="50" t="inlineStr">
        <is>
          <t>D39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</row>
    <row r="43" ht="15" customHeight="1" s="29">
      <c r="A43" s="51" t="inlineStr">
        <is>
          <t>D40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</row>
    <row r="44" ht="15" customHeight="1" s="29">
      <c r="A44" s="50" t="inlineStr">
        <is>
          <t>D41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</row>
    <row r="45" ht="15" customHeight="1" s="29">
      <c r="A45" s="51" t="inlineStr">
        <is>
          <t>D42</t>
        </is>
      </c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</row>
    <row r="46" ht="15" customHeight="1" s="29">
      <c r="A46" s="50" t="inlineStr">
        <is>
          <t>D43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</row>
    <row r="47" ht="15" customHeight="1" s="29">
      <c r="A47" s="51" t="inlineStr">
        <is>
          <t>D44</t>
        </is>
      </c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</row>
    <row r="48" ht="15" customHeight="1" s="29">
      <c r="A48" s="50" t="inlineStr">
        <is>
          <t>D45</t>
        </is>
      </c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</row>
    <row r="49" ht="15" customHeight="1" s="29">
      <c r="A49" s="51" t="inlineStr">
        <is>
          <t>D46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</row>
    <row r="50" ht="15" customHeight="1" s="29">
      <c r="A50" s="50" t="inlineStr">
        <is>
          <t>D47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</row>
    <row r="51" ht="15" customHeight="1" s="29">
      <c r="A51" s="51" t="inlineStr">
        <is>
          <t>D48</t>
        </is>
      </c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</row>
    <row r="52" ht="15" customHeight="1" s="29">
      <c r="A52" s="50" t="inlineStr">
        <is>
          <t>D49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</row>
    <row r="53" ht="15" customHeight="1" s="29">
      <c r="A53" s="51" t="inlineStr">
        <is>
          <t>D50</t>
        </is>
      </c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</row>
  </sheetData>
  <mergeCells count="2">
    <mergeCell ref="A3:L3"/>
    <mergeCell ref="A1:L1"/>
  </mergeCells>
  <conditionalFormatting sqref="K4:K53">
    <cfRule type="expression" priority="1" dxfId="0">
      <formula>$K4="Blocked"</formula>
    </cfRule>
    <cfRule type="expression" priority="2" dxfId="1">
      <formula>$K4="At Risk"</formula>
    </cfRule>
    <cfRule type="expression" priority="3" dxfId="2">
      <formula>$K4="Complete"</formula>
    </cfRule>
  </conditionalFormatting>
  <dataValidations count="4">
    <dataValidation sqref="C4:C53" showDropDown="0" showInputMessage="0" showErrorMessage="0" allowBlank="1" type="list">
      <formula1>"Internal,External"</formula1>
    </dataValidation>
    <dataValidation sqref="I4:I53" showDropDown="0" showInputMessage="0" showErrorMessage="0" allowBlank="1" type="list">
      <formula1>"High,Medium,Low"</formula1>
    </dataValidation>
    <dataValidation sqref="J4:J53" showDropDown="0" showInputMessage="0" showErrorMessage="0" allowBlank="1" type="list">
      <formula1>"High,Medium,Low"</formula1>
    </dataValidation>
    <dataValidation sqref="K4:K53" showDropDown="0" showInputMessage="0" showErrorMessage="0" allowBlank="1" type="list">
      <formula1>"On Track,At Risk,Blocked,Complete"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2026-05-22T19:41:19Z</dcterms:created>
  <dcterms:modified xsi:type="dcterms:W3CDTF">2026-10-12T16:59:40Z</dcterms:modified>
  <cp:revision>0</cp:revision>
</cp:coreProperties>
</file>